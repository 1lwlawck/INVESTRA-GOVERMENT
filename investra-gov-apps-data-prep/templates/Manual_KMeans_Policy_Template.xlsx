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rep_Z" sheetId="3" state="visible" r:id="rId3"/>
    <sheet name="Init_Centroid" sheetId="4" state="visible" r:id="rId4"/>
    <sheet name="Iter_1" sheetId="5" state="visible" r:id="rId5"/>
    <sheet name="Centroid_1" sheetId="6" state="visible" r:id="rId6"/>
    <sheet name="Iter_2" sheetId="7" state="visible" r:id="rId7"/>
    <sheet name="Centroid_2" sheetId="8" state="visible" r:id="rId8"/>
    <sheet name="Metrics" sheetId="9" state="visible" r:id="rId9"/>
    <sheet name="Cluster_Summary" sheetId="10" state="visible" r:id="rId10"/>
    <sheet name="Policy_Ratio" sheetId="11" state="visible" r:id="rId11"/>
    <sheet name="Policy_Ru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2C5F"/>
      <sz val="14"/>
    </font>
    <font>
      <b val="1"/>
    </font>
    <font>
      <b val="1"/>
      <color rgb="00FFFFFF"/>
    </font>
    <font>
      <b val="1"/>
      <color rgb="00002C5F"/>
    </font>
    <font>
      <i val="1"/>
      <color rgb="00555555"/>
    </font>
    <font>
      <b val="1"/>
      <color rgb="00002C5F"/>
      <sz val="13"/>
    </font>
  </fonts>
  <fills count="4">
    <fill>
      <patternFill/>
    </fill>
    <fill>
      <patternFill patternType="gray125"/>
    </fill>
    <fill>
      <patternFill patternType="solid">
        <fgColor rgb="00002C5F"/>
        <bgColor rgb="00002C5F"/>
      </patternFill>
    </fill>
    <fill>
      <patternFill patternType="solid">
        <fgColor rgb="00F2F6FC"/>
        <bgColor rgb="00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Manual K-Means + Policy Template (INVESTRA)</t>
        </is>
      </c>
    </row>
    <row r="2">
      <c r="A2" t="inlineStr"/>
    </row>
    <row r="3">
      <c r="A3" s="2" t="inlineStr">
        <is>
          <t>Tujuan:</t>
        </is>
      </c>
    </row>
    <row r="4">
      <c r="A4" t="inlineStr">
        <is>
          <t>1) Verifikasi manual alur preprocessing + K-Means pada sampel kecil.</t>
        </is>
      </c>
    </row>
    <row r="5">
      <c r="A5" t="inlineStr">
        <is>
          <t>2) Hitung inertia dan cek konvergensi antar iterasi.</t>
        </is>
      </c>
    </row>
    <row r="6">
      <c r="A6" t="inlineStr">
        <is>
          <t>3) Verifikasi manual policy ratio (cluster mean vs national mean).</t>
        </is>
      </c>
    </row>
    <row r="7">
      <c r="A7" t="inlineStr"/>
    </row>
    <row r="8">
      <c r="A8" s="2" t="inlineStr">
        <is>
          <t>Alur pakai:</t>
        </is>
      </c>
    </row>
    <row r="9">
      <c r="A9" t="inlineStr">
        <is>
          <t>1) Isi/ubah data di sheet Raw_Data (baris sampel sudah diisi dari panel 2022-2024).</t>
        </is>
      </c>
    </row>
    <row r="10">
      <c r="A10" t="inlineStr">
        <is>
          <t>2) Cek hasil transform + standardisasi di Prep_Z.</t>
        </is>
      </c>
    </row>
    <row r="11">
      <c r="A11" t="inlineStr">
        <is>
          <t>3) Atur centroid awal di Init_Centroid (kolom Row Source).</t>
        </is>
      </c>
    </row>
    <row r="12">
      <c r="A12" t="inlineStr">
        <is>
          <t>4) Lihat assignment di Iter_1, centroid baru di Centroid_1.</t>
        </is>
      </c>
    </row>
    <row r="13">
      <c r="A13" t="inlineStr">
        <is>
          <t>5) Lanjut Iter_2 dan Centroid_2.</t>
        </is>
      </c>
    </row>
    <row r="14">
      <c r="A14" t="inlineStr">
        <is>
          <t>6) Cek Metrics (perubahan assignment, inertia, konvergensi).</t>
        </is>
      </c>
    </row>
    <row r="15">
      <c r="A15" t="inlineStr">
        <is>
          <t>7) Cek Cluster_Summary dan Policy_Ratio.</t>
        </is>
      </c>
    </row>
    <row r="16">
      <c r="A16" t="inlineStr"/>
    </row>
    <row r="17">
      <c r="A17" s="2" t="inlineStr">
        <is>
          <t>Catatan:</t>
        </is>
      </c>
    </row>
    <row r="18">
      <c r="A18" t="inlineStr">
        <is>
          <t>- Transform log hanya untuk PMDN, FDI, PDRB per kapita (sesuai backend).</t>
        </is>
      </c>
    </row>
    <row r="19">
      <c r="A19" t="inlineStr">
        <is>
          <t>- Standardisasi di template ini dilakukan within-year (panel).</t>
        </is>
      </c>
    </row>
    <row r="20">
      <c r="A20" t="inlineStr">
        <is>
          <t>- Ini template demonstrasi seminar, bukan pengganti pipeline backend penuh.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18" customWidth="1" min="4" max="4"/>
    <col width="18" customWidth="1" min="5" max="5"/>
    <col width="18" customWidth="1" min="6" max="6"/>
    <col width="10" customWidth="1" min="7" max="7"/>
    <col width="12" customWidth="1" min="8" max="8"/>
    <col width="14" customWidth="1" min="9" max="9"/>
    <col width="10" customWidth="1" min="10" max="10"/>
  </cols>
  <sheetData>
    <row r="1">
      <c r="A1" s="3" t="inlineStr">
        <is>
          <t>no</t>
        </is>
      </c>
      <c r="B1" s="3" t="inlineStr">
        <is>
          <t>provinsi</t>
        </is>
      </c>
      <c r="C1" s="3" t="inlineStr">
        <is>
          <t>year</t>
        </is>
      </c>
      <c r="D1" s="3" t="inlineStr">
        <is>
          <t>pmdn_rp</t>
        </is>
      </c>
      <c r="E1" s="3" t="inlineStr">
        <is>
          <t>fdi_rp</t>
        </is>
      </c>
      <c r="F1" s="3" t="inlineStr">
        <is>
          <t>pdrb_per_kapita</t>
        </is>
      </c>
      <c r="G1" s="3" t="inlineStr">
        <is>
          <t>ipm</t>
        </is>
      </c>
      <c r="H1" s="3" t="inlineStr">
        <is>
          <t>kemiskinan</t>
        </is>
      </c>
      <c r="I1" s="3" t="inlineStr">
        <is>
          <t>akses_listrik</t>
        </is>
      </c>
      <c r="J1" s="3" t="inlineStr">
        <is>
          <t>tpt</t>
        </is>
      </c>
    </row>
    <row r="2">
      <c r="A2" t="n">
        <v>1</v>
      </c>
      <c r="B2" t="inlineStr">
        <is>
          <t>ACEH</t>
        </is>
      </c>
      <c r="C2" t="n">
        <v>2022</v>
      </c>
      <c r="D2" t="n">
        <v>4424177000000</v>
      </c>
      <c r="E2" t="n">
        <v>1831550400000</v>
      </c>
      <c r="F2" t="n">
        <v>38767000</v>
      </c>
      <c r="G2" t="n">
        <v>72.8</v>
      </c>
      <c r="H2" t="n">
        <v>14.695</v>
      </c>
      <c r="I2" t="n">
        <v>99.84</v>
      </c>
      <c r="J2" t="n">
        <v>6.07</v>
      </c>
    </row>
    <row r="3">
      <c r="A3" t="n">
        <v>2</v>
      </c>
      <c r="B3" t="inlineStr">
        <is>
          <t>BALI</t>
        </is>
      </c>
      <c r="C3" t="n">
        <v>2022</v>
      </c>
      <c r="D3" t="n">
        <v>6002102800000</v>
      </c>
      <c r="E3" t="n">
        <v>6450796300000</v>
      </c>
      <c r="F3" t="n">
        <v>56093000</v>
      </c>
      <c r="G3" t="n">
        <v>76.44</v>
      </c>
      <c r="H3" t="n">
        <v>4.550000000000001</v>
      </c>
      <c r="I3" t="n">
        <v>99.98999999999999</v>
      </c>
      <c r="J3" t="n">
        <v>4.82</v>
      </c>
    </row>
    <row r="4">
      <c r="A4" t="n">
        <v>3</v>
      </c>
      <c r="B4" t="inlineStr">
        <is>
          <t>BANTEN</t>
        </is>
      </c>
      <c r="C4" t="n">
        <v>2022</v>
      </c>
      <c r="D4" t="n">
        <v>31283874900000</v>
      </c>
      <c r="E4" t="n">
        <v>48943314099999.99</v>
      </c>
      <c r="F4" t="n">
        <v>61414000</v>
      </c>
      <c r="G4" t="n">
        <v>73.31999999999999</v>
      </c>
      <c r="H4" t="n">
        <v>6.2</v>
      </c>
      <c r="I4" t="n">
        <v>99.8</v>
      </c>
      <c r="J4" t="n">
        <v>8.309999999999999</v>
      </c>
    </row>
    <row r="5">
      <c r="A5" t="n">
        <v>4</v>
      </c>
      <c r="B5" t="inlineStr">
        <is>
          <t>BENGKULU</t>
        </is>
      </c>
      <c r="C5" t="n">
        <v>2022</v>
      </c>
      <c r="D5" t="n">
        <v>6957310000000</v>
      </c>
      <c r="E5" t="n">
        <v>748386100000</v>
      </c>
      <c r="F5" t="n">
        <v>43757000</v>
      </c>
      <c r="G5" t="n">
        <v>72.16</v>
      </c>
      <c r="H5" t="n">
        <v>14.48</v>
      </c>
      <c r="I5" t="n">
        <v>99.61</v>
      </c>
      <c r="J5" t="n">
        <v>3.49</v>
      </c>
    </row>
    <row r="6">
      <c r="A6" t="n">
        <v>5</v>
      </c>
      <c r="B6" t="inlineStr">
        <is>
          <t>DI YOGYAKARTA</t>
        </is>
      </c>
      <c r="C6" t="n">
        <v>2022</v>
      </c>
      <c r="D6" t="n">
        <v>2274999000000</v>
      </c>
      <c r="E6" t="n">
        <v>1634364000000</v>
      </c>
      <c r="F6" t="n">
        <v>44639000</v>
      </c>
      <c r="G6" t="n">
        <v>80.64</v>
      </c>
      <c r="H6" t="n">
        <v>11.415</v>
      </c>
      <c r="I6" t="n">
        <v>99.95999999999999</v>
      </c>
      <c r="J6" t="n">
        <v>3.895</v>
      </c>
    </row>
    <row r="7">
      <c r="A7" t="n">
        <v>6</v>
      </c>
      <c r="B7" t="inlineStr">
        <is>
          <t>ACEH</t>
        </is>
      </c>
      <c r="C7" t="n">
        <v>2023</v>
      </c>
      <c r="D7" t="n">
        <v>8883256899999.998</v>
      </c>
      <c r="E7" t="n">
        <v>3679778800000.001</v>
      </c>
      <c r="F7" t="n">
        <v>41408000</v>
      </c>
      <c r="G7" t="n">
        <v>73.40000000000001</v>
      </c>
      <c r="H7" t="n">
        <v>15.685</v>
      </c>
      <c r="I7" t="n">
        <v>99.86</v>
      </c>
      <c r="J7" t="n">
        <v>5.890000000000001</v>
      </c>
    </row>
    <row r="8">
      <c r="A8" t="n">
        <v>7</v>
      </c>
      <c r="B8" t="inlineStr">
        <is>
          <t>BALI</t>
        </is>
      </c>
      <c r="C8" t="n">
        <v>2023</v>
      </c>
      <c r="D8" t="n">
        <v>6950784900000</v>
      </c>
      <c r="E8" t="n">
        <v>11965261100000</v>
      </c>
      <c r="F8" t="n">
        <v>62294000</v>
      </c>
      <c r="G8" t="n">
        <v>77.09999999999999</v>
      </c>
      <c r="H8" t="n">
        <v>4.875</v>
      </c>
      <c r="I8" t="n">
        <v>99.90000000000001</v>
      </c>
      <c r="J8" t="n">
        <v>3.21</v>
      </c>
    </row>
    <row r="9">
      <c r="A9" t="n">
        <v>8</v>
      </c>
      <c r="B9" t="inlineStr">
        <is>
          <t>BANTEN</t>
        </is>
      </c>
      <c r="C9" t="n">
        <v>2023</v>
      </c>
      <c r="D9" t="n">
        <v>37971670600000</v>
      </c>
      <c r="E9" t="n">
        <v>65883435200000</v>
      </c>
      <c r="F9" t="n">
        <v>66147000</v>
      </c>
      <c r="G9" t="n">
        <v>73.87</v>
      </c>
      <c r="H9" t="n">
        <v>6.48</v>
      </c>
      <c r="I9" t="n">
        <v>99.79000000000001</v>
      </c>
      <c r="J9" t="n">
        <v>7.744999999999999</v>
      </c>
    </row>
    <row r="10">
      <c r="A10" t="n">
        <v>9</v>
      </c>
      <c r="B10" t="inlineStr">
        <is>
          <t>BENGKULU</t>
        </is>
      </c>
      <c r="C10" t="n">
        <v>2023</v>
      </c>
      <c r="D10" t="n">
        <v>7218715000000</v>
      </c>
      <c r="E10" t="n">
        <v>1126129800000</v>
      </c>
      <c r="F10" t="n">
        <v>46300000</v>
      </c>
      <c r="G10" t="n">
        <v>72.78</v>
      </c>
      <c r="H10" t="n">
        <v>14</v>
      </c>
      <c r="I10" t="n">
        <v>99.69</v>
      </c>
      <c r="J10" t="n">
        <v>3.315</v>
      </c>
    </row>
    <row r="11">
      <c r="A11" t="n">
        <v>10</v>
      </c>
      <c r="B11" t="inlineStr">
        <is>
          <t>DI YOGYAKARTA</t>
        </is>
      </c>
      <c r="C11" t="n">
        <v>2023</v>
      </c>
      <c r="D11" t="n">
        <v>5015483900000</v>
      </c>
      <c r="E11" t="n">
        <v>680924700000.0001</v>
      </c>
      <c r="F11" t="n">
        <v>48360000</v>
      </c>
      <c r="G11" t="n">
        <v>81.06999999999999</v>
      </c>
      <c r="H11" t="n">
        <v>12.2</v>
      </c>
      <c r="I11" t="n">
        <v>100</v>
      </c>
      <c r="J11" t="n">
        <v>3.635</v>
      </c>
    </row>
    <row r="12">
      <c r="A12" t="n">
        <v>11</v>
      </c>
      <c r="B12" t="inlineStr">
        <is>
          <t>ACEH</t>
        </is>
      </c>
      <c r="C12" t="n">
        <v>2024</v>
      </c>
      <c r="D12" t="n">
        <v>8317040200000</v>
      </c>
      <c r="E12" t="n">
        <v>1150754100000</v>
      </c>
      <c r="F12" t="n">
        <v>43782000</v>
      </c>
      <c r="G12" t="n">
        <v>74.03</v>
      </c>
      <c r="H12" t="n">
        <v>13.435</v>
      </c>
      <c r="I12" t="n">
        <v>99.86</v>
      </c>
      <c r="J12" t="n">
        <v>5.654999999999999</v>
      </c>
    </row>
    <row r="13">
      <c r="A13" t="n">
        <v>12</v>
      </c>
      <c r="B13" t="inlineStr">
        <is>
          <t>BALI</t>
        </is>
      </c>
      <c r="C13" t="n">
        <v>2024</v>
      </c>
      <c r="D13" t="n">
        <v>12312338600000</v>
      </c>
      <c r="E13" t="n">
        <v>24205104800000</v>
      </c>
      <c r="F13" t="n">
        <v>67319000</v>
      </c>
      <c r="G13" t="n">
        <v>77.76000000000001</v>
      </c>
      <c r="H13" t="n">
        <v>3.9</v>
      </c>
      <c r="I13" t="n">
        <v>99.95999999999999</v>
      </c>
      <c r="J13" t="n">
        <v>1.83</v>
      </c>
    </row>
    <row r="14">
      <c r="A14" t="n">
        <v>13</v>
      </c>
      <c r="B14" t="inlineStr">
        <is>
          <t>BANTEN</t>
        </is>
      </c>
      <c r="C14" t="n">
        <v>2024</v>
      </c>
      <c r="D14" t="n">
        <v>47605843700000</v>
      </c>
      <c r="E14" t="n">
        <v>58022551500000</v>
      </c>
      <c r="F14" t="n">
        <v>70276000</v>
      </c>
      <c r="G14" t="n">
        <v>74.48</v>
      </c>
      <c r="H14" t="n">
        <v>5.77</v>
      </c>
      <c r="I14" t="n">
        <v>99.84</v>
      </c>
      <c r="J14" t="n">
        <v>6.85</v>
      </c>
    </row>
    <row r="15">
      <c r="A15" t="n">
        <v>14</v>
      </c>
      <c r="B15" t="inlineStr">
        <is>
          <t>BENGKULU</t>
        </is>
      </c>
      <c r="C15" t="n">
        <v>2024</v>
      </c>
      <c r="D15" t="n">
        <v>7982470000000</v>
      </c>
      <c r="E15" t="n">
        <v>1301031800000</v>
      </c>
      <c r="F15" t="n">
        <v>49233000</v>
      </c>
      <c r="G15" t="n">
        <v>73.39</v>
      </c>
      <c r="H15" t="n">
        <v>13.04</v>
      </c>
      <c r="I15" t="n">
        <v>99.88</v>
      </c>
      <c r="J15" t="n">
        <v>3.14</v>
      </c>
    </row>
    <row r="16">
      <c r="A16" t="n">
        <v>15</v>
      </c>
      <c r="B16" t="inlineStr">
        <is>
          <t>DI YOGYAKARTA</t>
        </is>
      </c>
      <c r="C16" t="n">
        <v>2024</v>
      </c>
      <c r="D16" t="n">
        <v>3630248800000</v>
      </c>
      <c r="E16" t="n">
        <v>531641400000</v>
      </c>
      <c r="F16" t="n">
        <v>51473000</v>
      </c>
      <c r="G16" t="n">
        <v>81.55</v>
      </c>
      <c r="H16" t="n">
        <v>10.615</v>
      </c>
      <c r="I16" t="n">
        <v>100</v>
      </c>
      <c r="J16" t="n">
        <v>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4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6" customWidth="1" min="16" max="16"/>
    <col width="12" customWidth="1" min="17" max="17"/>
  </cols>
  <sheetData>
    <row r="1">
      <c r="A1" s="3" t="inlineStr">
        <is>
          <t>no</t>
        </is>
      </c>
      <c r="B1" s="3" t="inlineStr">
        <is>
          <t>provinsi</t>
        </is>
      </c>
      <c r="C1" s="3" t="inlineStr">
        <is>
          <t>year</t>
        </is>
      </c>
      <c r="D1" s="3" t="inlineStr">
        <is>
          <t>pmdn_log</t>
        </is>
      </c>
      <c r="E1" s="3" t="inlineStr">
        <is>
          <t>fdi_log</t>
        </is>
      </c>
      <c r="F1" s="3" t="inlineStr">
        <is>
          <t>pdrb_log</t>
        </is>
      </c>
      <c r="G1" s="3" t="inlineStr">
        <is>
          <t>ipm</t>
        </is>
      </c>
      <c r="H1" s="3" t="inlineStr">
        <is>
          <t>kemiskinan</t>
        </is>
      </c>
      <c r="I1" s="3" t="inlineStr">
        <is>
          <t>akses_listrik</t>
        </is>
      </c>
      <c r="J1" s="3" t="inlineStr">
        <is>
          <t>tpt</t>
        </is>
      </c>
      <c r="K1" s="3" t="inlineStr">
        <is>
          <t>z_pmdn</t>
        </is>
      </c>
      <c r="L1" s="3" t="inlineStr">
        <is>
          <t>z_fdi</t>
        </is>
      </c>
      <c r="M1" s="3" t="inlineStr">
        <is>
          <t>z_pdrb</t>
        </is>
      </c>
      <c r="N1" s="3" t="inlineStr">
        <is>
          <t>z_ipm</t>
        </is>
      </c>
      <c r="O1" s="3" t="inlineStr">
        <is>
          <t>z_kemiskinan</t>
        </is>
      </c>
      <c r="P1" s="3" t="inlineStr">
        <is>
          <t>z_akses_listrik</t>
        </is>
      </c>
      <c r="Q1" s="3" t="inlineStr">
        <is>
          <t>z_tpt</t>
        </is>
      </c>
    </row>
    <row r="2">
      <c r="A2">
        <f>Raw_Data!A2</f>
        <v/>
      </c>
      <c r="B2">
        <f>Raw_Data!B2</f>
        <v/>
      </c>
      <c r="C2">
        <f>Raw_Data!C2</f>
        <v/>
      </c>
      <c r="D2">
        <f>LN(1+Raw_Data!D2)</f>
        <v/>
      </c>
      <c r="E2">
        <f>LN(1+Raw_Data!E2)</f>
        <v/>
      </c>
      <c r="F2">
        <f>LN(1+Raw_Data!F2)</f>
        <v/>
      </c>
      <c r="G2">
        <f>Raw_Data!G2</f>
        <v/>
      </c>
      <c r="H2">
        <f>Raw_Data!H2</f>
        <v/>
      </c>
      <c r="I2">
        <f>Raw_Data!I2</f>
        <v/>
      </c>
      <c r="J2">
        <f>Raw_Data!J2</f>
        <v/>
      </c>
      <c r="K2">
        <f>IFERROR((D2-AVERAGEIFS($D$2:$D$16,$C$2:$C$16,$C2))/SQRT(SUMPRODUCT(($C$2:$C$16=$C2)*(D$2:D$16-AVERAGEIFS($D$2:D$16,$C$2:$C$16,$C2))^2)/(COUNTIFS($C$2:$C$16,$C2)-1)),0)</f>
        <v/>
      </c>
      <c r="L2">
        <f>IFERROR((E2-AVERAGEIFS($E$2:$E$16,$C$2:$C$16,$C2))/SQRT(SUMPRODUCT(($C$2:$C$16=$C2)*(E$2:E$16-AVERAGEIFS($E$2:E$16,$C$2:$C$16,$C2))^2)/(COUNTIFS($C$2:$C$16,$C2)-1)),0)</f>
        <v/>
      </c>
      <c r="M2">
        <f>IFERROR((F2-AVERAGEIFS($F$2:$F$16,$C$2:$C$16,$C2))/SQRT(SUMPRODUCT(($C$2:$C$16=$C2)*(F$2:F$16-AVERAGEIFS($F$2:F$16,$C$2:$C$16,$C2))^2)/(COUNTIFS($C$2:$C$16,$C2)-1)),0)</f>
        <v/>
      </c>
      <c r="N2">
        <f>IFERROR((G2-AVERAGEIFS($G$2:$G$16,$C$2:$C$16,$C2))/SQRT(SUMPRODUCT(($C$2:$C$16=$C2)*(G$2:G$16-AVERAGEIFS($G$2:G$16,$C$2:$C$16,$C2))^2)/(COUNTIFS($C$2:$C$16,$C2)-1)),0)</f>
        <v/>
      </c>
      <c r="O2">
        <f>IFERROR((H2-AVERAGEIFS($H$2:$H$16,$C$2:$C$16,$C2))/SQRT(SUMPRODUCT(($C$2:$C$16=$C2)*(H$2:H$16-AVERAGEIFS($H$2:H$16,$C$2:$C$16,$C2))^2)/(COUNTIFS($C$2:$C$16,$C2)-1)),0)</f>
        <v/>
      </c>
      <c r="P2">
        <f>IFERROR((I2-AVERAGEIFS($I$2:$I$16,$C$2:$C$16,$C2))/SQRT(SUMPRODUCT(($C$2:$C$16=$C2)*(I$2:I$16-AVERAGEIFS($I$2:I$16,$C$2:$C$16,$C2))^2)/(COUNTIFS($C$2:$C$16,$C2)-1)),0)</f>
        <v/>
      </c>
      <c r="Q2">
        <f>IFERROR((J2-AVERAGEIFS($J$2:$J$16,$C$2:$C$16,$C2))/SQRT(SUMPRODUCT(($C$2:$C$16=$C2)*(J$2:J$16-AVERAGEIFS($J$2:J$16,$C$2:$C$16,$C2))^2)/(COUNTIFS($C$2:$C$16,$C2)-1)),0)</f>
        <v/>
      </c>
    </row>
    <row r="3">
      <c r="A3">
        <f>Raw_Data!A3</f>
        <v/>
      </c>
      <c r="B3">
        <f>Raw_Data!B3</f>
        <v/>
      </c>
      <c r="C3">
        <f>Raw_Data!C3</f>
        <v/>
      </c>
      <c r="D3">
        <f>LN(1+Raw_Data!D3)</f>
        <v/>
      </c>
      <c r="E3">
        <f>LN(1+Raw_Data!E3)</f>
        <v/>
      </c>
      <c r="F3">
        <f>LN(1+Raw_Data!F3)</f>
        <v/>
      </c>
      <c r="G3">
        <f>Raw_Data!G3</f>
        <v/>
      </c>
      <c r="H3">
        <f>Raw_Data!H3</f>
        <v/>
      </c>
      <c r="I3">
        <f>Raw_Data!I3</f>
        <v/>
      </c>
      <c r="J3">
        <f>Raw_Data!J3</f>
        <v/>
      </c>
      <c r="K3">
        <f>IFERROR((D3-AVERAGEIFS($D$2:$D$16,$C$2:$C$16,$C3))/SQRT(SUMPRODUCT(($C$2:$C$16=$C3)*(D$2:D$16-AVERAGEIFS($D$2:D$16,$C$2:$C$16,$C3))^2)/(COUNTIFS($C$2:$C$16,$C3)-1)),0)</f>
        <v/>
      </c>
      <c r="L3">
        <f>IFERROR((E3-AVERAGEIFS($E$2:$E$16,$C$2:$C$16,$C3))/SQRT(SUMPRODUCT(($C$2:$C$16=$C3)*(E$2:E$16-AVERAGEIFS($E$2:E$16,$C$2:$C$16,$C3))^2)/(COUNTIFS($C$2:$C$16,$C3)-1)),0)</f>
        <v/>
      </c>
      <c r="M3">
        <f>IFERROR((F3-AVERAGEIFS($F$2:$F$16,$C$2:$C$16,$C3))/SQRT(SUMPRODUCT(($C$2:$C$16=$C3)*(F$2:F$16-AVERAGEIFS($F$2:F$16,$C$2:$C$16,$C3))^2)/(COUNTIFS($C$2:$C$16,$C3)-1)),0)</f>
        <v/>
      </c>
      <c r="N3">
        <f>IFERROR((G3-AVERAGEIFS($G$2:$G$16,$C$2:$C$16,$C3))/SQRT(SUMPRODUCT(($C$2:$C$16=$C3)*(G$2:G$16-AVERAGEIFS($G$2:G$16,$C$2:$C$16,$C3))^2)/(COUNTIFS($C$2:$C$16,$C3)-1)),0)</f>
        <v/>
      </c>
      <c r="O3">
        <f>IFERROR((H3-AVERAGEIFS($H$2:$H$16,$C$2:$C$16,$C3))/SQRT(SUMPRODUCT(($C$2:$C$16=$C3)*(H$2:H$16-AVERAGEIFS($H$2:H$16,$C$2:$C$16,$C3))^2)/(COUNTIFS($C$2:$C$16,$C3)-1)),0)</f>
        <v/>
      </c>
      <c r="P3">
        <f>IFERROR((I3-AVERAGEIFS($I$2:$I$16,$C$2:$C$16,$C3))/SQRT(SUMPRODUCT(($C$2:$C$16=$C3)*(I$2:I$16-AVERAGEIFS($I$2:I$16,$C$2:$C$16,$C3))^2)/(COUNTIFS($C$2:$C$16,$C3)-1)),0)</f>
        <v/>
      </c>
      <c r="Q3">
        <f>IFERROR((J3-AVERAGEIFS($J$2:$J$16,$C$2:$C$16,$C3))/SQRT(SUMPRODUCT(($C$2:$C$16=$C3)*(J$2:J$16-AVERAGEIFS($J$2:J$16,$C$2:$C$16,$C3))^2)/(COUNTIFS($C$2:$C$16,$C3)-1)),0)</f>
        <v/>
      </c>
    </row>
    <row r="4">
      <c r="A4">
        <f>Raw_Data!A4</f>
        <v/>
      </c>
      <c r="B4">
        <f>Raw_Data!B4</f>
        <v/>
      </c>
      <c r="C4">
        <f>Raw_Data!C4</f>
        <v/>
      </c>
      <c r="D4">
        <f>LN(1+Raw_Data!D4)</f>
        <v/>
      </c>
      <c r="E4">
        <f>LN(1+Raw_Data!E4)</f>
        <v/>
      </c>
      <c r="F4">
        <f>LN(1+Raw_Data!F4)</f>
        <v/>
      </c>
      <c r="G4">
        <f>Raw_Data!G4</f>
        <v/>
      </c>
      <c r="H4">
        <f>Raw_Data!H4</f>
        <v/>
      </c>
      <c r="I4">
        <f>Raw_Data!I4</f>
        <v/>
      </c>
      <c r="J4">
        <f>Raw_Data!J4</f>
        <v/>
      </c>
      <c r="K4">
        <f>IFERROR((D4-AVERAGEIFS($D$2:$D$16,$C$2:$C$16,$C4))/SQRT(SUMPRODUCT(($C$2:$C$16=$C4)*(D$2:D$16-AVERAGEIFS($D$2:D$16,$C$2:$C$16,$C4))^2)/(COUNTIFS($C$2:$C$16,$C4)-1)),0)</f>
        <v/>
      </c>
      <c r="L4">
        <f>IFERROR((E4-AVERAGEIFS($E$2:$E$16,$C$2:$C$16,$C4))/SQRT(SUMPRODUCT(($C$2:$C$16=$C4)*(E$2:E$16-AVERAGEIFS($E$2:E$16,$C$2:$C$16,$C4))^2)/(COUNTIFS($C$2:$C$16,$C4)-1)),0)</f>
        <v/>
      </c>
      <c r="M4">
        <f>IFERROR((F4-AVERAGEIFS($F$2:$F$16,$C$2:$C$16,$C4))/SQRT(SUMPRODUCT(($C$2:$C$16=$C4)*(F$2:F$16-AVERAGEIFS($F$2:F$16,$C$2:$C$16,$C4))^2)/(COUNTIFS($C$2:$C$16,$C4)-1)),0)</f>
        <v/>
      </c>
      <c r="N4">
        <f>IFERROR((G4-AVERAGEIFS($G$2:$G$16,$C$2:$C$16,$C4))/SQRT(SUMPRODUCT(($C$2:$C$16=$C4)*(G$2:G$16-AVERAGEIFS($G$2:G$16,$C$2:$C$16,$C4))^2)/(COUNTIFS($C$2:$C$16,$C4)-1)),0)</f>
        <v/>
      </c>
      <c r="O4">
        <f>IFERROR((H4-AVERAGEIFS($H$2:$H$16,$C$2:$C$16,$C4))/SQRT(SUMPRODUCT(($C$2:$C$16=$C4)*(H$2:H$16-AVERAGEIFS($H$2:H$16,$C$2:$C$16,$C4))^2)/(COUNTIFS($C$2:$C$16,$C4)-1)),0)</f>
        <v/>
      </c>
      <c r="P4">
        <f>IFERROR((I4-AVERAGEIFS($I$2:$I$16,$C$2:$C$16,$C4))/SQRT(SUMPRODUCT(($C$2:$C$16=$C4)*(I$2:I$16-AVERAGEIFS($I$2:I$16,$C$2:$C$16,$C4))^2)/(COUNTIFS($C$2:$C$16,$C4)-1)),0)</f>
        <v/>
      </c>
      <c r="Q4">
        <f>IFERROR((J4-AVERAGEIFS($J$2:$J$16,$C$2:$C$16,$C4))/SQRT(SUMPRODUCT(($C$2:$C$16=$C4)*(J$2:J$16-AVERAGEIFS($J$2:J$16,$C$2:$C$16,$C4))^2)/(COUNTIFS($C$2:$C$16,$C4)-1)),0)</f>
        <v/>
      </c>
    </row>
    <row r="5">
      <c r="A5">
        <f>Raw_Data!A5</f>
        <v/>
      </c>
      <c r="B5">
        <f>Raw_Data!B5</f>
        <v/>
      </c>
      <c r="C5">
        <f>Raw_Data!C5</f>
        <v/>
      </c>
      <c r="D5">
        <f>LN(1+Raw_Data!D5)</f>
        <v/>
      </c>
      <c r="E5">
        <f>LN(1+Raw_Data!E5)</f>
        <v/>
      </c>
      <c r="F5">
        <f>LN(1+Raw_Data!F5)</f>
        <v/>
      </c>
      <c r="G5">
        <f>Raw_Data!G5</f>
        <v/>
      </c>
      <c r="H5">
        <f>Raw_Data!H5</f>
        <v/>
      </c>
      <c r="I5">
        <f>Raw_Data!I5</f>
        <v/>
      </c>
      <c r="J5">
        <f>Raw_Data!J5</f>
        <v/>
      </c>
      <c r="K5">
        <f>IFERROR((D5-AVERAGEIFS($D$2:$D$16,$C$2:$C$16,$C5))/SQRT(SUMPRODUCT(($C$2:$C$16=$C5)*(D$2:D$16-AVERAGEIFS($D$2:D$16,$C$2:$C$16,$C5))^2)/(COUNTIFS($C$2:$C$16,$C5)-1)),0)</f>
        <v/>
      </c>
      <c r="L5">
        <f>IFERROR((E5-AVERAGEIFS($E$2:$E$16,$C$2:$C$16,$C5))/SQRT(SUMPRODUCT(($C$2:$C$16=$C5)*(E$2:E$16-AVERAGEIFS($E$2:E$16,$C$2:$C$16,$C5))^2)/(COUNTIFS($C$2:$C$16,$C5)-1)),0)</f>
        <v/>
      </c>
      <c r="M5">
        <f>IFERROR((F5-AVERAGEIFS($F$2:$F$16,$C$2:$C$16,$C5))/SQRT(SUMPRODUCT(($C$2:$C$16=$C5)*(F$2:F$16-AVERAGEIFS($F$2:F$16,$C$2:$C$16,$C5))^2)/(COUNTIFS($C$2:$C$16,$C5)-1)),0)</f>
        <v/>
      </c>
      <c r="N5">
        <f>IFERROR((G5-AVERAGEIFS($G$2:$G$16,$C$2:$C$16,$C5))/SQRT(SUMPRODUCT(($C$2:$C$16=$C5)*(G$2:G$16-AVERAGEIFS($G$2:G$16,$C$2:$C$16,$C5))^2)/(COUNTIFS($C$2:$C$16,$C5)-1)),0)</f>
        <v/>
      </c>
      <c r="O5">
        <f>IFERROR((H5-AVERAGEIFS($H$2:$H$16,$C$2:$C$16,$C5))/SQRT(SUMPRODUCT(($C$2:$C$16=$C5)*(H$2:H$16-AVERAGEIFS($H$2:H$16,$C$2:$C$16,$C5))^2)/(COUNTIFS($C$2:$C$16,$C5)-1)),0)</f>
        <v/>
      </c>
      <c r="P5">
        <f>IFERROR((I5-AVERAGEIFS($I$2:$I$16,$C$2:$C$16,$C5))/SQRT(SUMPRODUCT(($C$2:$C$16=$C5)*(I$2:I$16-AVERAGEIFS($I$2:I$16,$C$2:$C$16,$C5))^2)/(COUNTIFS($C$2:$C$16,$C5)-1)),0)</f>
        <v/>
      </c>
      <c r="Q5">
        <f>IFERROR((J5-AVERAGEIFS($J$2:$J$16,$C$2:$C$16,$C5))/SQRT(SUMPRODUCT(($C$2:$C$16=$C5)*(J$2:J$16-AVERAGEIFS($J$2:J$16,$C$2:$C$16,$C5))^2)/(COUNTIFS($C$2:$C$16,$C5)-1)),0)</f>
        <v/>
      </c>
    </row>
    <row r="6">
      <c r="A6">
        <f>Raw_Data!A6</f>
        <v/>
      </c>
      <c r="B6">
        <f>Raw_Data!B6</f>
        <v/>
      </c>
      <c r="C6">
        <f>Raw_Data!C6</f>
        <v/>
      </c>
      <c r="D6">
        <f>LN(1+Raw_Data!D6)</f>
        <v/>
      </c>
      <c r="E6">
        <f>LN(1+Raw_Data!E6)</f>
        <v/>
      </c>
      <c r="F6">
        <f>LN(1+Raw_Data!F6)</f>
        <v/>
      </c>
      <c r="G6">
        <f>Raw_Data!G6</f>
        <v/>
      </c>
      <c r="H6">
        <f>Raw_Data!H6</f>
        <v/>
      </c>
      <c r="I6">
        <f>Raw_Data!I6</f>
        <v/>
      </c>
      <c r="J6">
        <f>Raw_Data!J6</f>
        <v/>
      </c>
      <c r="K6">
        <f>IFERROR((D6-AVERAGEIFS($D$2:$D$16,$C$2:$C$16,$C6))/SQRT(SUMPRODUCT(($C$2:$C$16=$C6)*(D$2:D$16-AVERAGEIFS($D$2:D$16,$C$2:$C$16,$C6))^2)/(COUNTIFS($C$2:$C$16,$C6)-1)),0)</f>
        <v/>
      </c>
      <c r="L6">
        <f>IFERROR((E6-AVERAGEIFS($E$2:$E$16,$C$2:$C$16,$C6))/SQRT(SUMPRODUCT(($C$2:$C$16=$C6)*(E$2:E$16-AVERAGEIFS($E$2:E$16,$C$2:$C$16,$C6))^2)/(COUNTIFS($C$2:$C$16,$C6)-1)),0)</f>
        <v/>
      </c>
      <c r="M6">
        <f>IFERROR((F6-AVERAGEIFS($F$2:$F$16,$C$2:$C$16,$C6))/SQRT(SUMPRODUCT(($C$2:$C$16=$C6)*(F$2:F$16-AVERAGEIFS($F$2:F$16,$C$2:$C$16,$C6))^2)/(COUNTIFS($C$2:$C$16,$C6)-1)),0)</f>
        <v/>
      </c>
      <c r="N6">
        <f>IFERROR((G6-AVERAGEIFS($G$2:$G$16,$C$2:$C$16,$C6))/SQRT(SUMPRODUCT(($C$2:$C$16=$C6)*(G$2:G$16-AVERAGEIFS($G$2:G$16,$C$2:$C$16,$C6))^2)/(COUNTIFS($C$2:$C$16,$C6)-1)),0)</f>
        <v/>
      </c>
      <c r="O6">
        <f>IFERROR((H6-AVERAGEIFS($H$2:$H$16,$C$2:$C$16,$C6))/SQRT(SUMPRODUCT(($C$2:$C$16=$C6)*(H$2:H$16-AVERAGEIFS($H$2:H$16,$C$2:$C$16,$C6))^2)/(COUNTIFS($C$2:$C$16,$C6)-1)),0)</f>
        <v/>
      </c>
      <c r="P6">
        <f>IFERROR((I6-AVERAGEIFS($I$2:$I$16,$C$2:$C$16,$C6))/SQRT(SUMPRODUCT(($C$2:$C$16=$C6)*(I$2:I$16-AVERAGEIFS($I$2:I$16,$C$2:$C$16,$C6))^2)/(COUNTIFS($C$2:$C$16,$C6)-1)),0)</f>
        <v/>
      </c>
      <c r="Q6">
        <f>IFERROR((J6-AVERAGEIFS($J$2:$J$16,$C$2:$C$16,$C6))/SQRT(SUMPRODUCT(($C$2:$C$16=$C6)*(J$2:J$16-AVERAGEIFS($J$2:J$16,$C$2:$C$16,$C6))^2)/(COUNTIFS($C$2:$C$16,$C6)-1)),0)</f>
        <v/>
      </c>
    </row>
    <row r="7">
      <c r="A7">
        <f>Raw_Data!A7</f>
        <v/>
      </c>
      <c r="B7">
        <f>Raw_Data!B7</f>
        <v/>
      </c>
      <c r="C7">
        <f>Raw_Data!C7</f>
        <v/>
      </c>
      <c r="D7">
        <f>LN(1+Raw_Data!D7)</f>
        <v/>
      </c>
      <c r="E7">
        <f>LN(1+Raw_Data!E7)</f>
        <v/>
      </c>
      <c r="F7">
        <f>LN(1+Raw_Data!F7)</f>
        <v/>
      </c>
      <c r="G7">
        <f>Raw_Data!G7</f>
        <v/>
      </c>
      <c r="H7">
        <f>Raw_Data!H7</f>
        <v/>
      </c>
      <c r="I7">
        <f>Raw_Data!I7</f>
        <v/>
      </c>
      <c r="J7">
        <f>Raw_Data!J7</f>
        <v/>
      </c>
      <c r="K7">
        <f>IFERROR((D7-AVERAGEIFS($D$2:$D$16,$C$2:$C$16,$C7))/SQRT(SUMPRODUCT(($C$2:$C$16=$C7)*(D$2:D$16-AVERAGEIFS($D$2:D$16,$C$2:$C$16,$C7))^2)/(COUNTIFS($C$2:$C$16,$C7)-1)),0)</f>
        <v/>
      </c>
      <c r="L7">
        <f>IFERROR((E7-AVERAGEIFS($E$2:$E$16,$C$2:$C$16,$C7))/SQRT(SUMPRODUCT(($C$2:$C$16=$C7)*(E$2:E$16-AVERAGEIFS($E$2:E$16,$C$2:$C$16,$C7))^2)/(COUNTIFS($C$2:$C$16,$C7)-1)),0)</f>
        <v/>
      </c>
      <c r="M7">
        <f>IFERROR((F7-AVERAGEIFS($F$2:$F$16,$C$2:$C$16,$C7))/SQRT(SUMPRODUCT(($C$2:$C$16=$C7)*(F$2:F$16-AVERAGEIFS($F$2:F$16,$C$2:$C$16,$C7))^2)/(COUNTIFS($C$2:$C$16,$C7)-1)),0)</f>
        <v/>
      </c>
      <c r="N7">
        <f>IFERROR((G7-AVERAGEIFS($G$2:$G$16,$C$2:$C$16,$C7))/SQRT(SUMPRODUCT(($C$2:$C$16=$C7)*(G$2:G$16-AVERAGEIFS($G$2:G$16,$C$2:$C$16,$C7))^2)/(COUNTIFS($C$2:$C$16,$C7)-1)),0)</f>
        <v/>
      </c>
      <c r="O7">
        <f>IFERROR((H7-AVERAGEIFS($H$2:$H$16,$C$2:$C$16,$C7))/SQRT(SUMPRODUCT(($C$2:$C$16=$C7)*(H$2:H$16-AVERAGEIFS($H$2:H$16,$C$2:$C$16,$C7))^2)/(COUNTIFS($C$2:$C$16,$C7)-1)),0)</f>
        <v/>
      </c>
      <c r="P7">
        <f>IFERROR((I7-AVERAGEIFS($I$2:$I$16,$C$2:$C$16,$C7))/SQRT(SUMPRODUCT(($C$2:$C$16=$C7)*(I$2:I$16-AVERAGEIFS($I$2:I$16,$C$2:$C$16,$C7))^2)/(COUNTIFS($C$2:$C$16,$C7)-1)),0)</f>
        <v/>
      </c>
      <c r="Q7">
        <f>IFERROR((J7-AVERAGEIFS($J$2:$J$16,$C$2:$C$16,$C7))/SQRT(SUMPRODUCT(($C$2:$C$16=$C7)*(J$2:J$16-AVERAGEIFS($J$2:J$16,$C$2:$C$16,$C7))^2)/(COUNTIFS($C$2:$C$16,$C7)-1)),0)</f>
        <v/>
      </c>
    </row>
    <row r="8">
      <c r="A8">
        <f>Raw_Data!A8</f>
        <v/>
      </c>
      <c r="B8">
        <f>Raw_Data!B8</f>
        <v/>
      </c>
      <c r="C8">
        <f>Raw_Data!C8</f>
        <v/>
      </c>
      <c r="D8">
        <f>LN(1+Raw_Data!D8)</f>
        <v/>
      </c>
      <c r="E8">
        <f>LN(1+Raw_Data!E8)</f>
        <v/>
      </c>
      <c r="F8">
        <f>LN(1+Raw_Data!F8)</f>
        <v/>
      </c>
      <c r="G8">
        <f>Raw_Data!G8</f>
        <v/>
      </c>
      <c r="H8">
        <f>Raw_Data!H8</f>
        <v/>
      </c>
      <c r="I8">
        <f>Raw_Data!I8</f>
        <v/>
      </c>
      <c r="J8">
        <f>Raw_Data!J8</f>
        <v/>
      </c>
      <c r="K8">
        <f>IFERROR((D8-AVERAGEIFS($D$2:$D$16,$C$2:$C$16,$C8))/SQRT(SUMPRODUCT(($C$2:$C$16=$C8)*(D$2:D$16-AVERAGEIFS($D$2:D$16,$C$2:$C$16,$C8))^2)/(COUNTIFS($C$2:$C$16,$C8)-1)),0)</f>
        <v/>
      </c>
      <c r="L8">
        <f>IFERROR((E8-AVERAGEIFS($E$2:$E$16,$C$2:$C$16,$C8))/SQRT(SUMPRODUCT(($C$2:$C$16=$C8)*(E$2:E$16-AVERAGEIFS($E$2:E$16,$C$2:$C$16,$C8))^2)/(COUNTIFS($C$2:$C$16,$C8)-1)),0)</f>
        <v/>
      </c>
      <c r="M8">
        <f>IFERROR((F8-AVERAGEIFS($F$2:$F$16,$C$2:$C$16,$C8))/SQRT(SUMPRODUCT(($C$2:$C$16=$C8)*(F$2:F$16-AVERAGEIFS($F$2:F$16,$C$2:$C$16,$C8))^2)/(COUNTIFS($C$2:$C$16,$C8)-1)),0)</f>
        <v/>
      </c>
      <c r="N8">
        <f>IFERROR((G8-AVERAGEIFS($G$2:$G$16,$C$2:$C$16,$C8))/SQRT(SUMPRODUCT(($C$2:$C$16=$C8)*(G$2:G$16-AVERAGEIFS($G$2:G$16,$C$2:$C$16,$C8))^2)/(COUNTIFS($C$2:$C$16,$C8)-1)),0)</f>
        <v/>
      </c>
      <c r="O8">
        <f>IFERROR((H8-AVERAGEIFS($H$2:$H$16,$C$2:$C$16,$C8))/SQRT(SUMPRODUCT(($C$2:$C$16=$C8)*(H$2:H$16-AVERAGEIFS($H$2:H$16,$C$2:$C$16,$C8))^2)/(COUNTIFS($C$2:$C$16,$C8)-1)),0)</f>
        <v/>
      </c>
      <c r="P8">
        <f>IFERROR((I8-AVERAGEIFS($I$2:$I$16,$C$2:$C$16,$C8))/SQRT(SUMPRODUCT(($C$2:$C$16=$C8)*(I$2:I$16-AVERAGEIFS($I$2:I$16,$C$2:$C$16,$C8))^2)/(COUNTIFS($C$2:$C$16,$C8)-1)),0)</f>
        <v/>
      </c>
      <c r="Q8">
        <f>IFERROR((J8-AVERAGEIFS($J$2:$J$16,$C$2:$C$16,$C8))/SQRT(SUMPRODUCT(($C$2:$C$16=$C8)*(J$2:J$16-AVERAGEIFS($J$2:J$16,$C$2:$C$16,$C8))^2)/(COUNTIFS($C$2:$C$16,$C8)-1)),0)</f>
        <v/>
      </c>
    </row>
    <row r="9">
      <c r="A9">
        <f>Raw_Data!A9</f>
        <v/>
      </c>
      <c r="B9">
        <f>Raw_Data!B9</f>
        <v/>
      </c>
      <c r="C9">
        <f>Raw_Data!C9</f>
        <v/>
      </c>
      <c r="D9">
        <f>LN(1+Raw_Data!D9)</f>
        <v/>
      </c>
      <c r="E9">
        <f>LN(1+Raw_Data!E9)</f>
        <v/>
      </c>
      <c r="F9">
        <f>LN(1+Raw_Data!F9)</f>
        <v/>
      </c>
      <c r="G9">
        <f>Raw_Data!G9</f>
        <v/>
      </c>
      <c r="H9">
        <f>Raw_Data!H9</f>
        <v/>
      </c>
      <c r="I9">
        <f>Raw_Data!I9</f>
        <v/>
      </c>
      <c r="J9">
        <f>Raw_Data!J9</f>
        <v/>
      </c>
      <c r="K9">
        <f>IFERROR((D9-AVERAGEIFS($D$2:$D$16,$C$2:$C$16,$C9))/SQRT(SUMPRODUCT(($C$2:$C$16=$C9)*(D$2:D$16-AVERAGEIFS($D$2:D$16,$C$2:$C$16,$C9))^2)/(COUNTIFS($C$2:$C$16,$C9)-1)),0)</f>
        <v/>
      </c>
      <c r="L9">
        <f>IFERROR((E9-AVERAGEIFS($E$2:$E$16,$C$2:$C$16,$C9))/SQRT(SUMPRODUCT(($C$2:$C$16=$C9)*(E$2:E$16-AVERAGEIFS($E$2:E$16,$C$2:$C$16,$C9))^2)/(COUNTIFS($C$2:$C$16,$C9)-1)),0)</f>
        <v/>
      </c>
      <c r="M9">
        <f>IFERROR((F9-AVERAGEIFS($F$2:$F$16,$C$2:$C$16,$C9))/SQRT(SUMPRODUCT(($C$2:$C$16=$C9)*(F$2:F$16-AVERAGEIFS($F$2:F$16,$C$2:$C$16,$C9))^2)/(COUNTIFS($C$2:$C$16,$C9)-1)),0)</f>
        <v/>
      </c>
      <c r="N9">
        <f>IFERROR((G9-AVERAGEIFS($G$2:$G$16,$C$2:$C$16,$C9))/SQRT(SUMPRODUCT(($C$2:$C$16=$C9)*(G$2:G$16-AVERAGEIFS($G$2:G$16,$C$2:$C$16,$C9))^2)/(COUNTIFS($C$2:$C$16,$C9)-1)),0)</f>
        <v/>
      </c>
      <c r="O9">
        <f>IFERROR((H9-AVERAGEIFS($H$2:$H$16,$C$2:$C$16,$C9))/SQRT(SUMPRODUCT(($C$2:$C$16=$C9)*(H$2:H$16-AVERAGEIFS($H$2:H$16,$C$2:$C$16,$C9))^2)/(COUNTIFS($C$2:$C$16,$C9)-1)),0)</f>
        <v/>
      </c>
      <c r="P9">
        <f>IFERROR((I9-AVERAGEIFS($I$2:$I$16,$C$2:$C$16,$C9))/SQRT(SUMPRODUCT(($C$2:$C$16=$C9)*(I$2:I$16-AVERAGEIFS($I$2:I$16,$C$2:$C$16,$C9))^2)/(COUNTIFS($C$2:$C$16,$C9)-1)),0)</f>
        <v/>
      </c>
      <c r="Q9">
        <f>IFERROR((J9-AVERAGEIFS($J$2:$J$16,$C$2:$C$16,$C9))/SQRT(SUMPRODUCT(($C$2:$C$16=$C9)*(J$2:J$16-AVERAGEIFS($J$2:J$16,$C$2:$C$16,$C9))^2)/(COUNTIFS($C$2:$C$16,$C9)-1)),0)</f>
        <v/>
      </c>
    </row>
    <row r="10">
      <c r="A10">
        <f>Raw_Data!A10</f>
        <v/>
      </c>
      <c r="B10">
        <f>Raw_Data!B10</f>
        <v/>
      </c>
      <c r="C10">
        <f>Raw_Data!C10</f>
        <v/>
      </c>
      <c r="D10">
        <f>LN(1+Raw_Data!D10)</f>
        <v/>
      </c>
      <c r="E10">
        <f>LN(1+Raw_Data!E10)</f>
        <v/>
      </c>
      <c r="F10">
        <f>LN(1+Raw_Data!F10)</f>
        <v/>
      </c>
      <c r="G10">
        <f>Raw_Data!G10</f>
        <v/>
      </c>
      <c r="H10">
        <f>Raw_Data!H10</f>
        <v/>
      </c>
      <c r="I10">
        <f>Raw_Data!I10</f>
        <v/>
      </c>
      <c r="J10">
        <f>Raw_Data!J10</f>
        <v/>
      </c>
      <c r="K10">
        <f>IFERROR((D10-AVERAGEIFS($D$2:$D$16,$C$2:$C$16,$C10))/SQRT(SUMPRODUCT(($C$2:$C$16=$C10)*(D$2:D$16-AVERAGEIFS($D$2:D$16,$C$2:$C$16,$C10))^2)/(COUNTIFS($C$2:$C$16,$C10)-1)),0)</f>
        <v/>
      </c>
      <c r="L10">
        <f>IFERROR((E10-AVERAGEIFS($E$2:$E$16,$C$2:$C$16,$C10))/SQRT(SUMPRODUCT(($C$2:$C$16=$C10)*(E$2:E$16-AVERAGEIFS($E$2:E$16,$C$2:$C$16,$C10))^2)/(COUNTIFS($C$2:$C$16,$C10)-1)),0)</f>
        <v/>
      </c>
      <c r="M10">
        <f>IFERROR((F10-AVERAGEIFS($F$2:$F$16,$C$2:$C$16,$C10))/SQRT(SUMPRODUCT(($C$2:$C$16=$C10)*(F$2:F$16-AVERAGEIFS($F$2:F$16,$C$2:$C$16,$C10))^2)/(COUNTIFS($C$2:$C$16,$C10)-1)),0)</f>
        <v/>
      </c>
      <c r="N10">
        <f>IFERROR((G10-AVERAGEIFS($G$2:$G$16,$C$2:$C$16,$C10))/SQRT(SUMPRODUCT(($C$2:$C$16=$C10)*(G$2:G$16-AVERAGEIFS($G$2:G$16,$C$2:$C$16,$C10))^2)/(COUNTIFS($C$2:$C$16,$C10)-1)),0)</f>
        <v/>
      </c>
      <c r="O10">
        <f>IFERROR((H10-AVERAGEIFS($H$2:$H$16,$C$2:$C$16,$C10))/SQRT(SUMPRODUCT(($C$2:$C$16=$C10)*(H$2:H$16-AVERAGEIFS($H$2:H$16,$C$2:$C$16,$C10))^2)/(COUNTIFS($C$2:$C$16,$C10)-1)),0)</f>
        <v/>
      </c>
      <c r="P10">
        <f>IFERROR((I10-AVERAGEIFS($I$2:$I$16,$C$2:$C$16,$C10))/SQRT(SUMPRODUCT(($C$2:$C$16=$C10)*(I$2:I$16-AVERAGEIFS($I$2:I$16,$C$2:$C$16,$C10))^2)/(COUNTIFS($C$2:$C$16,$C10)-1)),0)</f>
        <v/>
      </c>
      <c r="Q10">
        <f>IFERROR((J10-AVERAGEIFS($J$2:$J$16,$C$2:$C$16,$C10))/SQRT(SUMPRODUCT(($C$2:$C$16=$C10)*(J$2:J$16-AVERAGEIFS($J$2:J$16,$C$2:$C$16,$C10))^2)/(COUNTIFS($C$2:$C$16,$C10)-1)),0)</f>
        <v/>
      </c>
    </row>
    <row r="11">
      <c r="A11">
        <f>Raw_Data!A11</f>
        <v/>
      </c>
      <c r="B11">
        <f>Raw_Data!B11</f>
        <v/>
      </c>
      <c r="C11">
        <f>Raw_Data!C11</f>
        <v/>
      </c>
      <c r="D11">
        <f>LN(1+Raw_Data!D11)</f>
        <v/>
      </c>
      <c r="E11">
        <f>LN(1+Raw_Data!E11)</f>
        <v/>
      </c>
      <c r="F11">
        <f>LN(1+Raw_Data!F11)</f>
        <v/>
      </c>
      <c r="G11">
        <f>Raw_Data!G11</f>
        <v/>
      </c>
      <c r="H11">
        <f>Raw_Data!H11</f>
        <v/>
      </c>
      <c r="I11">
        <f>Raw_Data!I11</f>
        <v/>
      </c>
      <c r="J11">
        <f>Raw_Data!J11</f>
        <v/>
      </c>
      <c r="K11">
        <f>IFERROR((D11-AVERAGEIFS($D$2:$D$16,$C$2:$C$16,$C11))/SQRT(SUMPRODUCT(($C$2:$C$16=$C11)*(D$2:D$16-AVERAGEIFS($D$2:D$16,$C$2:$C$16,$C11))^2)/(COUNTIFS($C$2:$C$16,$C11)-1)),0)</f>
        <v/>
      </c>
      <c r="L11">
        <f>IFERROR((E11-AVERAGEIFS($E$2:$E$16,$C$2:$C$16,$C11))/SQRT(SUMPRODUCT(($C$2:$C$16=$C11)*(E$2:E$16-AVERAGEIFS($E$2:E$16,$C$2:$C$16,$C11))^2)/(COUNTIFS($C$2:$C$16,$C11)-1)),0)</f>
        <v/>
      </c>
      <c r="M11">
        <f>IFERROR((F11-AVERAGEIFS($F$2:$F$16,$C$2:$C$16,$C11))/SQRT(SUMPRODUCT(($C$2:$C$16=$C11)*(F$2:F$16-AVERAGEIFS($F$2:F$16,$C$2:$C$16,$C11))^2)/(COUNTIFS($C$2:$C$16,$C11)-1)),0)</f>
        <v/>
      </c>
      <c r="N11">
        <f>IFERROR((G11-AVERAGEIFS($G$2:$G$16,$C$2:$C$16,$C11))/SQRT(SUMPRODUCT(($C$2:$C$16=$C11)*(G$2:G$16-AVERAGEIFS($G$2:G$16,$C$2:$C$16,$C11))^2)/(COUNTIFS($C$2:$C$16,$C11)-1)),0)</f>
        <v/>
      </c>
      <c r="O11">
        <f>IFERROR((H11-AVERAGEIFS($H$2:$H$16,$C$2:$C$16,$C11))/SQRT(SUMPRODUCT(($C$2:$C$16=$C11)*(H$2:H$16-AVERAGEIFS($H$2:H$16,$C$2:$C$16,$C11))^2)/(COUNTIFS($C$2:$C$16,$C11)-1)),0)</f>
        <v/>
      </c>
      <c r="P11">
        <f>IFERROR((I11-AVERAGEIFS($I$2:$I$16,$C$2:$C$16,$C11))/SQRT(SUMPRODUCT(($C$2:$C$16=$C11)*(I$2:I$16-AVERAGEIFS($I$2:I$16,$C$2:$C$16,$C11))^2)/(COUNTIFS($C$2:$C$16,$C11)-1)),0)</f>
        <v/>
      </c>
      <c r="Q11">
        <f>IFERROR((J11-AVERAGEIFS($J$2:$J$16,$C$2:$C$16,$C11))/SQRT(SUMPRODUCT(($C$2:$C$16=$C11)*(J$2:J$16-AVERAGEIFS($J$2:J$16,$C$2:$C$16,$C11))^2)/(COUNTIFS($C$2:$C$16,$C11)-1)),0)</f>
        <v/>
      </c>
    </row>
    <row r="12">
      <c r="A12">
        <f>Raw_Data!A12</f>
        <v/>
      </c>
      <c r="B12">
        <f>Raw_Data!B12</f>
        <v/>
      </c>
      <c r="C12">
        <f>Raw_Data!C12</f>
        <v/>
      </c>
      <c r="D12">
        <f>LN(1+Raw_Data!D12)</f>
        <v/>
      </c>
      <c r="E12">
        <f>LN(1+Raw_Data!E12)</f>
        <v/>
      </c>
      <c r="F12">
        <f>LN(1+Raw_Data!F12)</f>
        <v/>
      </c>
      <c r="G12">
        <f>Raw_Data!G12</f>
        <v/>
      </c>
      <c r="H12">
        <f>Raw_Data!H12</f>
        <v/>
      </c>
      <c r="I12">
        <f>Raw_Data!I12</f>
        <v/>
      </c>
      <c r="J12">
        <f>Raw_Data!J12</f>
        <v/>
      </c>
      <c r="K12">
        <f>IFERROR((D12-AVERAGEIFS($D$2:$D$16,$C$2:$C$16,$C12))/SQRT(SUMPRODUCT(($C$2:$C$16=$C12)*(D$2:D$16-AVERAGEIFS($D$2:D$16,$C$2:$C$16,$C12))^2)/(COUNTIFS($C$2:$C$16,$C12)-1)),0)</f>
        <v/>
      </c>
      <c r="L12">
        <f>IFERROR((E12-AVERAGEIFS($E$2:$E$16,$C$2:$C$16,$C12))/SQRT(SUMPRODUCT(($C$2:$C$16=$C12)*(E$2:E$16-AVERAGEIFS($E$2:E$16,$C$2:$C$16,$C12))^2)/(COUNTIFS($C$2:$C$16,$C12)-1)),0)</f>
        <v/>
      </c>
      <c r="M12">
        <f>IFERROR((F12-AVERAGEIFS($F$2:$F$16,$C$2:$C$16,$C12))/SQRT(SUMPRODUCT(($C$2:$C$16=$C12)*(F$2:F$16-AVERAGEIFS($F$2:F$16,$C$2:$C$16,$C12))^2)/(COUNTIFS($C$2:$C$16,$C12)-1)),0)</f>
        <v/>
      </c>
      <c r="N12">
        <f>IFERROR((G12-AVERAGEIFS($G$2:$G$16,$C$2:$C$16,$C12))/SQRT(SUMPRODUCT(($C$2:$C$16=$C12)*(G$2:G$16-AVERAGEIFS($G$2:G$16,$C$2:$C$16,$C12))^2)/(COUNTIFS($C$2:$C$16,$C12)-1)),0)</f>
        <v/>
      </c>
      <c r="O12">
        <f>IFERROR((H12-AVERAGEIFS($H$2:$H$16,$C$2:$C$16,$C12))/SQRT(SUMPRODUCT(($C$2:$C$16=$C12)*(H$2:H$16-AVERAGEIFS($H$2:H$16,$C$2:$C$16,$C12))^2)/(COUNTIFS($C$2:$C$16,$C12)-1)),0)</f>
        <v/>
      </c>
      <c r="P12">
        <f>IFERROR((I12-AVERAGEIFS($I$2:$I$16,$C$2:$C$16,$C12))/SQRT(SUMPRODUCT(($C$2:$C$16=$C12)*(I$2:I$16-AVERAGEIFS($I$2:I$16,$C$2:$C$16,$C12))^2)/(COUNTIFS($C$2:$C$16,$C12)-1)),0)</f>
        <v/>
      </c>
      <c r="Q12">
        <f>IFERROR((J12-AVERAGEIFS($J$2:$J$16,$C$2:$C$16,$C12))/SQRT(SUMPRODUCT(($C$2:$C$16=$C12)*(J$2:J$16-AVERAGEIFS($J$2:J$16,$C$2:$C$16,$C12))^2)/(COUNTIFS($C$2:$C$16,$C12)-1)),0)</f>
        <v/>
      </c>
    </row>
    <row r="13">
      <c r="A13">
        <f>Raw_Data!A13</f>
        <v/>
      </c>
      <c r="B13">
        <f>Raw_Data!B13</f>
        <v/>
      </c>
      <c r="C13">
        <f>Raw_Data!C13</f>
        <v/>
      </c>
      <c r="D13">
        <f>LN(1+Raw_Data!D13)</f>
        <v/>
      </c>
      <c r="E13">
        <f>LN(1+Raw_Data!E13)</f>
        <v/>
      </c>
      <c r="F13">
        <f>LN(1+Raw_Data!F13)</f>
        <v/>
      </c>
      <c r="G13">
        <f>Raw_Data!G13</f>
        <v/>
      </c>
      <c r="H13">
        <f>Raw_Data!H13</f>
        <v/>
      </c>
      <c r="I13">
        <f>Raw_Data!I13</f>
        <v/>
      </c>
      <c r="J13">
        <f>Raw_Data!J13</f>
        <v/>
      </c>
      <c r="K13">
        <f>IFERROR((D13-AVERAGEIFS($D$2:$D$16,$C$2:$C$16,$C13))/SQRT(SUMPRODUCT(($C$2:$C$16=$C13)*(D$2:D$16-AVERAGEIFS($D$2:D$16,$C$2:$C$16,$C13))^2)/(COUNTIFS($C$2:$C$16,$C13)-1)),0)</f>
        <v/>
      </c>
      <c r="L13">
        <f>IFERROR((E13-AVERAGEIFS($E$2:$E$16,$C$2:$C$16,$C13))/SQRT(SUMPRODUCT(($C$2:$C$16=$C13)*(E$2:E$16-AVERAGEIFS($E$2:E$16,$C$2:$C$16,$C13))^2)/(COUNTIFS($C$2:$C$16,$C13)-1)),0)</f>
        <v/>
      </c>
      <c r="M13">
        <f>IFERROR((F13-AVERAGEIFS($F$2:$F$16,$C$2:$C$16,$C13))/SQRT(SUMPRODUCT(($C$2:$C$16=$C13)*(F$2:F$16-AVERAGEIFS($F$2:F$16,$C$2:$C$16,$C13))^2)/(COUNTIFS($C$2:$C$16,$C13)-1)),0)</f>
        <v/>
      </c>
      <c r="N13">
        <f>IFERROR((G13-AVERAGEIFS($G$2:$G$16,$C$2:$C$16,$C13))/SQRT(SUMPRODUCT(($C$2:$C$16=$C13)*(G$2:G$16-AVERAGEIFS($G$2:G$16,$C$2:$C$16,$C13))^2)/(COUNTIFS($C$2:$C$16,$C13)-1)),0)</f>
        <v/>
      </c>
      <c r="O13">
        <f>IFERROR((H13-AVERAGEIFS($H$2:$H$16,$C$2:$C$16,$C13))/SQRT(SUMPRODUCT(($C$2:$C$16=$C13)*(H$2:H$16-AVERAGEIFS($H$2:H$16,$C$2:$C$16,$C13))^2)/(COUNTIFS($C$2:$C$16,$C13)-1)),0)</f>
        <v/>
      </c>
      <c r="P13">
        <f>IFERROR((I13-AVERAGEIFS($I$2:$I$16,$C$2:$C$16,$C13))/SQRT(SUMPRODUCT(($C$2:$C$16=$C13)*(I$2:I$16-AVERAGEIFS($I$2:I$16,$C$2:$C$16,$C13))^2)/(COUNTIFS($C$2:$C$16,$C13)-1)),0)</f>
        <v/>
      </c>
      <c r="Q13">
        <f>IFERROR((J13-AVERAGEIFS($J$2:$J$16,$C$2:$C$16,$C13))/SQRT(SUMPRODUCT(($C$2:$C$16=$C13)*(J$2:J$16-AVERAGEIFS($J$2:J$16,$C$2:$C$16,$C13))^2)/(COUNTIFS($C$2:$C$16,$C13)-1)),0)</f>
        <v/>
      </c>
    </row>
    <row r="14">
      <c r="A14">
        <f>Raw_Data!A14</f>
        <v/>
      </c>
      <c r="B14">
        <f>Raw_Data!B14</f>
        <v/>
      </c>
      <c r="C14">
        <f>Raw_Data!C14</f>
        <v/>
      </c>
      <c r="D14">
        <f>LN(1+Raw_Data!D14)</f>
        <v/>
      </c>
      <c r="E14">
        <f>LN(1+Raw_Data!E14)</f>
        <v/>
      </c>
      <c r="F14">
        <f>LN(1+Raw_Data!F14)</f>
        <v/>
      </c>
      <c r="G14">
        <f>Raw_Data!G14</f>
        <v/>
      </c>
      <c r="H14">
        <f>Raw_Data!H14</f>
        <v/>
      </c>
      <c r="I14">
        <f>Raw_Data!I14</f>
        <v/>
      </c>
      <c r="J14">
        <f>Raw_Data!J14</f>
        <v/>
      </c>
      <c r="K14">
        <f>IFERROR((D14-AVERAGEIFS($D$2:$D$16,$C$2:$C$16,$C14))/SQRT(SUMPRODUCT(($C$2:$C$16=$C14)*(D$2:D$16-AVERAGEIFS($D$2:D$16,$C$2:$C$16,$C14))^2)/(COUNTIFS($C$2:$C$16,$C14)-1)),0)</f>
        <v/>
      </c>
      <c r="L14">
        <f>IFERROR((E14-AVERAGEIFS($E$2:$E$16,$C$2:$C$16,$C14))/SQRT(SUMPRODUCT(($C$2:$C$16=$C14)*(E$2:E$16-AVERAGEIFS($E$2:E$16,$C$2:$C$16,$C14))^2)/(COUNTIFS($C$2:$C$16,$C14)-1)),0)</f>
        <v/>
      </c>
      <c r="M14">
        <f>IFERROR((F14-AVERAGEIFS($F$2:$F$16,$C$2:$C$16,$C14))/SQRT(SUMPRODUCT(($C$2:$C$16=$C14)*(F$2:F$16-AVERAGEIFS($F$2:F$16,$C$2:$C$16,$C14))^2)/(COUNTIFS($C$2:$C$16,$C14)-1)),0)</f>
        <v/>
      </c>
      <c r="N14">
        <f>IFERROR((G14-AVERAGEIFS($G$2:$G$16,$C$2:$C$16,$C14))/SQRT(SUMPRODUCT(($C$2:$C$16=$C14)*(G$2:G$16-AVERAGEIFS($G$2:G$16,$C$2:$C$16,$C14))^2)/(COUNTIFS($C$2:$C$16,$C14)-1)),0)</f>
        <v/>
      </c>
      <c r="O14">
        <f>IFERROR((H14-AVERAGEIFS($H$2:$H$16,$C$2:$C$16,$C14))/SQRT(SUMPRODUCT(($C$2:$C$16=$C14)*(H$2:H$16-AVERAGEIFS($H$2:H$16,$C$2:$C$16,$C14))^2)/(COUNTIFS($C$2:$C$16,$C14)-1)),0)</f>
        <v/>
      </c>
      <c r="P14">
        <f>IFERROR((I14-AVERAGEIFS($I$2:$I$16,$C$2:$C$16,$C14))/SQRT(SUMPRODUCT(($C$2:$C$16=$C14)*(I$2:I$16-AVERAGEIFS($I$2:I$16,$C$2:$C$16,$C14))^2)/(COUNTIFS($C$2:$C$16,$C14)-1)),0)</f>
        <v/>
      </c>
      <c r="Q14">
        <f>IFERROR((J14-AVERAGEIFS($J$2:$J$16,$C$2:$C$16,$C14))/SQRT(SUMPRODUCT(($C$2:$C$16=$C14)*(J$2:J$16-AVERAGEIFS($J$2:J$16,$C$2:$C$16,$C14))^2)/(COUNTIFS($C$2:$C$16,$C14)-1)),0)</f>
        <v/>
      </c>
    </row>
    <row r="15">
      <c r="A15">
        <f>Raw_Data!A15</f>
        <v/>
      </c>
      <c r="B15">
        <f>Raw_Data!B15</f>
        <v/>
      </c>
      <c r="C15">
        <f>Raw_Data!C15</f>
        <v/>
      </c>
      <c r="D15">
        <f>LN(1+Raw_Data!D15)</f>
        <v/>
      </c>
      <c r="E15">
        <f>LN(1+Raw_Data!E15)</f>
        <v/>
      </c>
      <c r="F15">
        <f>LN(1+Raw_Data!F15)</f>
        <v/>
      </c>
      <c r="G15">
        <f>Raw_Data!G15</f>
        <v/>
      </c>
      <c r="H15">
        <f>Raw_Data!H15</f>
        <v/>
      </c>
      <c r="I15">
        <f>Raw_Data!I15</f>
        <v/>
      </c>
      <c r="J15">
        <f>Raw_Data!J15</f>
        <v/>
      </c>
      <c r="K15">
        <f>IFERROR((D15-AVERAGEIFS($D$2:$D$16,$C$2:$C$16,$C15))/SQRT(SUMPRODUCT(($C$2:$C$16=$C15)*(D$2:D$16-AVERAGEIFS($D$2:D$16,$C$2:$C$16,$C15))^2)/(COUNTIFS($C$2:$C$16,$C15)-1)),0)</f>
        <v/>
      </c>
      <c r="L15">
        <f>IFERROR((E15-AVERAGEIFS($E$2:$E$16,$C$2:$C$16,$C15))/SQRT(SUMPRODUCT(($C$2:$C$16=$C15)*(E$2:E$16-AVERAGEIFS($E$2:E$16,$C$2:$C$16,$C15))^2)/(COUNTIFS($C$2:$C$16,$C15)-1)),0)</f>
        <v/>
      </c>
      <c r="M15">
        <f>IFERROR((F15-AVERAGEIFS($F$2:$F$16,$C$2:$C$16,$C15))/SQRT(SUMPRODUCT(($C$2:$C$16=$C15)*(F$2:F$16-AVERAGEIFS($F$2:F$16,$C$2:$C$16,$C15))^2)/(COUNTIFS($C$2:$C$16,$C15)-1)),0)</f>
        <v/>
      </c>
      <c r="N15">
        <f>IFERROR((G15-AVERAGEIFS($G$2:$G$16,$C$2:$C$16,$C15))/SQRT(SUMPRODUCT(($C$2:$C$16=$C15)*(G$2:G$16-AVERAGEIFS($G$2:G$16,$C$2:$C$16,$C15))^2)/(COUNTIFS($C$2:$C$16,$C15)-1)),0)</f>
        <v/>
      </c>
      <c r="O15">
        <f>IFERROR((H15-AVERAGEIFS($H$2:$H$16,$C$2:$C$16,$C15))/SQRT(SUMPRODUCT(($C$2:$C$16=$C15)*(H$2:H$16-AVERAGEIFS($H$2:H$16,$C$2:$C$16,$C15))^2)/(COUNTIFS($C$2:$C$16,$C15)-1)),0)</f>
        <v/>
      </c>
      <c r="P15">
        <f>IFERROR((I15-AVERAGEIFS($I$2:$I$16,$C$2:$C$16,$C15))/SQRT(SUMPRODUCT(($C$2:$C$16=$C15)*(I$2:I$16-AVERAGEIFS($I$2:I$16,$C$2:$C$16,$C15))^2)/(COUNTIFS($C$2:$C$16,$C15)-1)),0)</f>
        <v/>
      </c>
      <c r="Q15">
        <f>IFERROR((J15-AVERAGEIFS($J$2:$J$16,$C$2:$C$16,$C15))/SQRT(SUMPRODUCT(($C$2:$C$16=$C15)*(J$2:J$16-AVERAGEIFS($J$2:J$16,$C$2:$C$16,$C15))^2)/(COUNTIFS($C$2:$C$16,$C15)-1)),0)</f>
        <v/>
      </c>
    </row>
    <row r="16">
      <c r="A16">
        <f>Raw_Data!A16</f>
        <v/>
      </c>
      <c r="B16">
        <f>Raw_Data!B16</f>
        <v/>
      </c>
      <c r="C16">
        <f>Raw_Data!C16</f>
        <v/>
      </c>
      <c r="D16">
        <f>LN(1+Raw_Data!D16)</f>
        <v/>
      </c>
      <c r="E16">
        <f>LN(1+Raw_Data!E16)</f>
        <v/>
      </c>
      <c r="F16">
        <f>LN(1+Raw_Data!F16)</f>
        <v/>
      </c>
      <c r="G16">
        <f>Raw_Data!G16</f>
        <v/>
      </c>
      <c r="H16">
        <f>Raw_Data!H16</f>
        <v/>
      </c>
      <c r="I16">
        <f>Raw_Data!I16</f>
        <v/>
      </c>
      <c r="J16">
        <f>Raw_Data!J16</f>
        <v/>
      </c>
      <c r="K16">
        <f>IFERROR((D16-AVERAGEIFS($D$2:$D$16,$C$2:$C$16,$C16))/SQRT(SUMPRODUCT(($C$2:$C$16=$C16)*(D$2:D$16-AVERAGEIFS($D$2:D$16,$C$2:$C$16,$C16))^2)/(COUNTIFS($C$2:$C$16,$C16)-1)),0)</f>
        <v/>
      </c>
      <c r="L16">
        <f>IFERROR((E16-AVERAGEIFS($E$2:$E$16,$C$2:$C$16,$C16))/SQRT(SUMPRODUCT(($C$2:$C$16=$C16)*(E$2:E$16-AVERAGEIFS($E$2:E$16,$C$2:$C$16,$C16))^2)/(COUNTIFS($C$2:$C$16,$C16)-1)),0)</f>
        <v/>
      </c>
      <c r="M16">
        <f>IFERROR((F16-AVERAGEIFS($F$2:$F$16,$C$2:$C$16,$C16))/SQRT(SUMPRODUCT(($C$2:$C$16=$C16)*(F$2:F$16-AVERAGEIFS($F$2:F$16,$C$2:$C$16,$C16))^2)/(COUNTIFS($C$2:$C$16,$C16)-1)),0)</f>
        <v/>
      </c>
      <c r="N16">
        <f>IFERROR((G16-AVERAGEIFS($G$2:$G$16,$C$2:$C$16,$C16))/SQRT(SUMPRODUCT(($C$2:$C$16=$C16)*(G$2:G$16-AVERAGEIFS($G$2:G$16,$C$2:$C$16,$C16))^2)/(COUNTIFS($C$2:$C$16,$C16)-1)),0)</f>
        <v/>
      </c>
      <c r="O16">
        <f>IFERROR((H16-AVERAGEIFS($H$2:$H$16,$C$2:$C$16,$C16))/SQRT(SUMPRODUCT(($C$2:$C$16=$C16)*(H$2:H$16-AVERAGEIFS($H$2:H$16,$C$2:$C$16,$C16))^2)/(COUNTIFS($C$2:$C$16,$C16)-1)),0)</f>
        <v/>
      </c>
      <c r="P16">
        <f>IFERROR((I16-AVERAGEIFS($I$2:$I$16,$C$2:$C$16,$C16))/SQRT(SUMPRODUCT(($C$2:$C$16=$C16)*(I$2:I$16-AVERAGEIFS($I$2:I$16,$C$2:$C$16,$C16))^2)/(COUNTIFS($C$2:$C$16,$C16)-1)),0)</f>
        <v/>
      </c>
      <c r="Q16">
        <f>IFERROR((J16-AVERAGEIFS($J$2:$J$16,$C$2:$C$16,$C16))/SQRT(SUMPRODUCT(($C$2:$C$16=$C16)*(J$2:J$16-AVERAGEIFS($J$2:J$16,$C$2:$C$16,$C16))^2)/(COUNTIFS($C$2:$C$16,$C16)-1)),0)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>
      <c r="A1" s="3" t="inlineStr">
        <is>
          <t>row_source</t>
        </is>
      </c>
      <c r="B1" s="3" t="inlineStr">
        <is>
          <t>z_pmdn</t>
        </is>
      </c>
      <c r="C1" s="3" t="inlineStr">
        <is>
          <t>z_fdi</t>
        </is>
      </c>
      <c r="D1" s="3" t="inlineStr">
        <is>
          <t>z_pdrb</t>
        </is>
      </c>
      <c r="E1" s="3" t="inlineStr">
        <is>
          <t>z_ipm</t>
        </is>
      </c>
      <c r="F1" s="3" t="inlineStr">
        <is>
          <t>z_kemiskinan</t>
        </is>
      </c>
      <c r="G1" s="3" t="inlineStr">
        <is>
          <t>z_akses_listrik</t>
        </is>
      </c>
      <c r="H1" s="3" t="inlineStr">
        <is>
          <t>z_tpt</t>
        </is>
      </c>
    </row>
    <row r="2">
      <c r="A2" t="n">
        <v>2</v>
      </c>
      <c r="B2">
        <f>INDEX(Prep_Z!$K$2:$Q$16,$A2-1,COLUMN()-1)</f>
        <v/>
      </c>
      <c r="C2">
        <f>INDEX(Prep_Z!$K$2:$Q$16,$A2-1,COLUMN()-1)</f>
        <v/>
      </c>
      <c r="D2">
        <f>INDEX(Prep_Z!$K$2:$Q$16,$A2-1,COLUMN()-1)</f>
        <v/>
      </c>
      <c r="E2">
        <f>INDEX(Prep_Z!$K$2:$Q$16,$A2-1,COLUMN()-1)</f>
        <v/>
      </c>
      <c r="F2">
        <f>INDEX(Prep_Z!$K$2:$Q$16,$A2-1,COLUMN()-1)</f>
        <v/>
      </c>
      <c r="G2">
        <f>INDEX(Prep_Z!$K$2:$Q$16,$A2-1,COLUMN()-1)</f>
        <v/>
      </c>
      <c r="H2">
        <f>INDEX(Prep_Z!$K$2:$Q$16,$A2-1,COLUMN()-1)</f>
        <v/>
      </c>
    </row>
    <row r="3">
      <c r="A3" t="n">
        <v>5</v>
      </c>
      <c r="B3">
        <f>INDEX(Prep_Z!$K$2:$Q$16,$A3-1,COLUMN()-1)</f>
        <v/>
      </c>
      <c r="C3">
        <f>INDEX(Prep_Z!$K$2:$Q$16,$A3-1,COLUMN()-1)</f>
        <v/>
      </c>
      <c r="D3">
        <f>INDEX(Prep_Z!$K$2:$Q$16,$A3-1,COLUMN()-1)</f>
        <v/>
      </c>
      <c r="E3">
        <f>INDEX(Prep_Z!$K$2:$Q$16,$A3-1,COLUMN()-1)</f>
        <v/>
      </c>
      <c r="F3">
        <f>INDEX(Prep_Z!$K$2:$Q$16,$A3-1,COLUMN()-1)</f>
        <v/>
      </c>
      <c r="G3">
        <f>INDEX(Prep_Z!$K$2:$Q$16,$A3-1,COLUMN()-1)</f>
        <v/>
      </c>
      <c r="H3">
        <f>INDEX(Prep_Z!$K$2:$Q$16,$A3-1,COLUMN()-1)</f>
        <v/>
      </c>
    </row>
    <row r="4">
      <c r="A4" t="n">
        <v>9</v>
      </c>
      <c r="B4">
        <f>INDEX(Prep_Z!$K$2:$Q$16,$A4-1,COLUMN()-1)</f>
        <v/>
      </c>
      <c r="C4">
        <f>INDEX(Prep_Z!$K$2:$Q$16,$A4-1,COLUMN()-1)</f>
        <v/>
      </c>
      <c r="D4">
        <f>INDEX(Prep_Z!$K$2:$Q$16,$A4-1,COLUMN()-1)</f>
        <v/>
      </c>
      <c r="E4">
        <f>INDEX(Prep_Z!$K$2:$Q$16,$A4-1,COLUMN()-1)</f>
        <v/>
      </c>
      <c r="F4">
        <f>INDEX(Prep_Z!$K$2:$Q$16,$A4-1,COLUMN()-1)</f>
        <v/>
      </c>
      <c r="G4">
        <f>INDEX(Prep_Z!$K$2:$Q$16,$A4-1,COLUMN()-1)</f>
        <v/>
      </c>
      <c r="H4">
        <f>INDEX(Prep_Z!$K$2:$Q$16,$A4-1,COLUMN()-1)</f>
        <v/>
      </c>
    </row>
    <row r="5">
      <c r="A5" t="n">
        <v>13</v>
      </c>
      <c r="B5">
        <f>INDEX(Prep_Z!$K$2:$Q$16,$A5-1,COLUMN()-1)</f>
        <v/>
      </c>
      <c r="C5">
        <f>INDEX(Prep_Z!$K$2:$Q$16,$A5-1,COLUMN()-1)</f>
        <v/>
      </c>
      <c r="D5">
        <f>INDEX(Prep_Z!$K$2:$Q$16,$A5-1,COLUMN()-1)</f>
        <v/>
      </c>
      <c r="E5">
        <f>INDEX(Prep_Z!$K$2:$Q$16,$A5-1,COLUMN()-1)</f>
        <v/>
      </c>
      <c r="F5">
        <f>INDEX(Prep_Z!$K$2:$Q$16,$A5-1,COLUMN()-1)</f>
        <v/>
      </c>
      <c r="G5">
        <f>INDEX(Prep_Z!$K$2:$Q$16,$A5-1,COLUMN()-1)</f>
        <v/>
      </c>
      <c r="H5">
        <f>INDEX(Prep_Z!$K$2:$Q$16,$A5-1,COLUMN()-1)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9" customWidth="1" min="15" max="15"/>
    <col width="12" customWidth="1" min="16" max="16"/>
  </cols>
  <sheetData>
    <row r="1">
      <c r="A1" s="3" t="inlineStr">
        <is>
          <t>no</t>
        </is>
      </c>
      <c r="B1" s="3" t="inlineStr">
        <is>
          <t>provinsi</t>
        </is>
      </c>
      <c r="C1" s="3" t="inlineStr">
        <is>
          <t>year</t>
        </is>
      </c>
      <c r="D1" s="3" t="inlineStr">
        <is>
          <t>z_pmdn</t>
        </is>
      </c>
      <c r="E1" s="3" t="inlineStr">
        <is>
          <t>z_fdi</t>
        </is>
      </c>
      <c r="F1" s="3" t="inlineStr">
        <is>
          <t>z_pdrb</t>
        </is>
      </c>
      <c r="G1" s="3" t="inlineStr">
        <is>
          <t>z_ipm</t>
        </is>
      </c>
      <c r="H1" s="3" t="inlineStr">
        <is>
          <t>z_kemiskinan</t>
        </is>
      </c>
      <c r="I1" s="3" t="inlineStr">
        <is>
          <t>z_akses_listrik</t>
        </is>
      </c>
      <c r="J1" s="3" t="inlineStr">
        <is>
          <t>z_tpt</t>
        </is>
      </c>
      <c r="K1" s="3" t="inlineStr">
        <is>
          <t>dist_c1</t>
        </is>
      </c>
      <c r="L1" s="3" t="inlineStr">
        <is>
          <t>dist_c2</t>
        </is>
      </c>
      <c r="M1" s="3" t="inlineStr">
        <is>
          <t>dist_c3</t>
        </is>
      </c>
      <c r="N1" s="3" t="inlineStr">
        <is>
          <t>dist_c4</t>
        </is>
      </c>
      <c r="O1" s="3" t="inlineStr">
        <is>
          <t>cluster</t>
        </is>
      </c>
      <c r="P1" s="3" t="inlineStr">
        <is>
          <t>min_dist</t>
        </is>
      </c>
    </row>
    <row r="2">
      <c r="A2">
        <f>Prep_Z!A2</f>
        <v/>
      </c>
      <c r="B2">
        <f>Prep_Z!B2</f>
        <v/>
      </c>
      <c r="C2">
        <f>Prep_Z!C2</f>
        <v/>
      </c>
      <c r="D2">
        <f>Prep_Z!K2</f>
        <v/>
      </c>
      <c r="E2">
        <f>Prep_Z!L2</f>
        <v/>
      </c>
      <c r="F2">
        <f>Prep_Z!M2</f>
        <v/>
      </c>
      <c r="G2">
        <f>Prep_Z!N2</f>
        <v/>
      </c>
      <c r="H2">
        <f>Prep_Z!O2</f>
        <v/>
      </c>
      <c r="I2">
        <f>Prep_Z!P2</f>
        <v/>
      </c>
      <c r="J2">
        <f>Prep_Z!Q2</f>
        <v/>
      </c>
      <c r="K2">
        <f>SUMXMY2($D2:$J2,Init_Centroid!$B$2:$H$2)</f>
        <v/>
      </c>
      <c r="L2">
        <f>SUMXMY2($D2:$J2,Init_Centroid!$B$3:$H$3)</f>
        <v/>
      </c>
      <c r="M2">
        <f>SUMXMY2($D2:$J2,Init_Centroid!$B$4:$H$4)</f>
        <v/>
      </c>
      <c r="N2">
        <f>SUMXMY2($D2:$J2,Init_Centroid!$B$5:$H$5)</f>
        <v/>
      </c>
      <c r="O2">
        <f>MATCH(MIN($K2:$N2),$K2:$N2,0)</f>
        <v/>
      </c>
      <c r="P2">
        <f>MIN($K2:$N2)</f>
        <v/>
      </c>
    </row>
    <row r="3">
      <c r="A3">
        <f>Prep_Z!A3</f>
        <v/>
      </c>
      <c r="B3">
        <f>Prep_Z!B3</f>
        <v/>
      </c>
      <c r="C3">
        <f>Prep_Z!C3</f>
        <v/>
      </c>
      <c r="D3">
        <f>Prep_Z!K3</f>
        <v/>
      </c>
      <c r="E3">
        <f>Prep_Z!L3</f>
        <v/>
      </c>
      <c r="F3">
        <f>Prep_Z!M3</f>
        <v/>
      </c>
      <c r="G3">
        <f>Prep_Z!N3</f>
        <v/>
      </c>
      <c r="H3">
        <f>Prep_Z!O3</f>
        <v/>
      </c>
      <c r="I3">
        <f>Prep_Z!P3</f>
        <v/>
      </c>
      <c r="J3">
        <f>Prep_Z!Q3</f>
        <v/>
      </c>
      <c r="K3">
        <f>SUMXMY2($D3:$J3,Init_Centroid!$B$2:$H$2)</f>
        <v/>
      </c>
      <c r="L3">
        <f>SUMXMY2($D3:$J3,Init_Centroid!$B$3:$H$3)</f>
        <v/>
      </c>
      <c r="M3">
        <f>SUMXMY2($D3:$J3,Init_Centroid!$B$4:$H$4)</f>
        <v/>
      </c>
      <c r="N3">
        <f>SUMXMY2($D3:$J3,Init_Centroid!$B$5:$H$5)</f>
        <v/>
      </c>
      <c r="O3">
        <f>MATCH(MIN($K3:$N3),$K3:$N3,0)</f>
        <v/>
      </c>
      <c r="P3">
        <f>MIN($K3:$N3)</f>
        <v/>
      </c>
    </row>
    <row r="4">
      <c r="A4">
        <f>Prep_Z!A4</f>
        <v/>
      </c>
      <c r="B4">
        <f>Prep_Z!B4</f>
        <v/>
      </c>
      <c r="C4">
        <f>Prep_Z!C4</f>
        <v/>
      </c>
      <c r="D4">
        <f>Prep_Z!K4</f>
        <v/>
      </c>
      <c r="E4">
        <f>Prep_Z!L4</f>
        <v/>
      </c>
      <c r="F4">
        <f>Prep_Z!M4</f>
        <v/>
      </c>
      <c r="G4">
        <f>Prep_Z!N4</f>
        <v/>
      </c>
      <c r="H4">
        <f>Prep_Z!O4</f>
        <v/>
      </c>
      <c r="I4">
        <f>Prep_Z!P4</f>
        <v/>
      </c>
      <c r="J4">
        <f>Prep_Z!Q4</f>
        <v/>
      </c>
      <c r="K4">
        <f>SUMXMY2($D4:$J4,Init_Centroid!$B$2:$H$2)</f>
        <v/>
      </c>
      <c r="L4">
        <f>SUMXMY2($D4:$J4,Init_Centroid!$B$3:$H$3)</f>
        <v/>
      </c>
      <c r="M4">
        <f>SUMXMY2($D4:$J4,Init_Centroid!$B$4:$H$4)</f>
        <v/>
      </c>
      <c r="N4">
        <f>SUMXMY2($D4:$J4,Init_Centroid!$B$5:$H$5)</f>
        <v/>
      </c>
      <c r="O4">
        <f>MATCH(MIN($K4:$N4),$K4:$N4,0)</f>
        <v/>
      </c>
      <c r="P4">
        <f>MIN($K4:$N4)</f>
        <v/>
      </c>
    </row>
    <row r="5">
      <c r="A5">
        <f>Prep_Z!A5</f>
        <v/>
      </c>
      <c r="B5">
        <f>Prep_Z!B5</f>
        <v/>
      </c>
      <c r="C5">
        <f>Prep_Z!C5</f>
        <v/>
      </c>
      <c r="D5">
        <f>Prep_Z!K5</f>
        <v/>
      </c>
      <c r="E5">
        <f>Prep_Z!L5</f>
        <v/>
      </c>
      <c r="F5">
        <f>Prep_Z!M5</f>
        <v/>
      </c>
      <c r="G5">
        <f>Prep_Z!N5</f>
        <v/>
      </c>
      <c r="H5">
        <f>Prep_Z!O5</f>
        <v/>
      </c>
      <c r="I5">
        <f>Prep_Z!P5</f>
        <v/>
      </c>
      <c r="J5">
        <f>Prep_Z!Q5</f>
        <v/>
      </c>
      <c r="K5">
        <f>SUMXMY2($D5:$J5,Init_Centroid!$B$2:$H$2)</f>
        <v/>
      </c>
      <c r="L5">
        <f>SUMXMY2($D5:$J5,Init_Centroid!$B$3:$H$3)</f>
        <v/>
      </c>
      <c r="M5">
        <f>SUMXMY2($D5:$J5,Init_Centroid!$B$4:$H$4)</f>
        <v/>
      </c>
      <c r="N5">
        <f>SUMXMY2($D5:$J5,Init_Centroid!$B$5:$H$5)</f>
        <v/>
      </c>
      <c r="O5">
        <f>MATCH(MIN($K5:$N5),$K5:$N5,0)</f>
        <v/>
      </c>
      <c r="P5">
        <f>MIN($K5:$N5)</f>
        <v/>
      </c>
    </row>
    <row r="6">
      <c r="A6">
        <f>Prep_Z!A6</f>
        <v/>
      </c>
      <c r="B6">
        <f>Prep_Z!B6</f>
        <v/>
      </c>
      <c r="C6">
        <f>Prep_Z!C6</f>
        <v/>
      </c>
      <c r="D6">
        <f>Prep_Z!K6</f>
        <v/>
      </c>
      <c r="E6">
        <f>Prep_Z!L6</f>
        <v/>
      </c>
      <c r="F6">
        <f>Prep_Z!M6</f>
        <v/>
      </c>
      <c r="G6">
        <f>Prep_Z!N6</f>
        <v/>
      </c>
      <c r="H6">
        <f>Prep_Z!O6</f>
        <v/>
      </c>
      <c r="I6">
        <f>Prep_Z!P6</f>
        <v/>
      </c>
      <c r="J6">
        <f>Prep_Z!Q6</f>
        <v/>
      </c>
      <c r="K6">
        <f>SUMXMY2($D6:$J6,Init_Centroid!$B$2:$H$2)</f>
        <v/>
      </c>
      <c r="L6">
        <f>SUMXMY2($D6:$J6,Init_Centroid!$B$3:$H$3)</f>
        <v/>
      </c>
      <c r="M6">
        <f>SUMXMY2($D6:$J6,Init_Centroid!$B$4:$H$4)</f>
        <v/>
      </c>
      <c r="N6">
        <f>SUMXMY2($D6:$J6,Init_Centroid!$B$5:$H$5)</f>
        <v/>
      </c>
      <c r="O6">
        <f>MATCH(MIN($K6:$N6),$K6:$N6,0)</f>
        <v/>
      </c>
      <c r="P6">
        <f>MIN($K6:$N6)</f>
        <v/>
      </c>
    </row>
    <row r="7">
      <c r="A7">
        <f>Prep_Z!A7</f>
        <v/>
      </c>
      <c r="B7">
        <f>Prep_Z!B7</f>
        <v/>
      </c>
      <c r="C7">
        <f>Prep_Z!C7</f>
        <v/>
      </c>
      <c r="D7">
        <f>Prep_Z!K7</f>
        <v/>
      </c>
      <c r="E7">
        <f>Prep_Z!L7</f>
        <v/>
      </c>
      <c r="F7">
        <f>Prep_Z!M7</f>
        <v/>
      </c>
      <c r="G7">
        <f>Prep_Z!N7</f>
        <v/>
      </c>
      <c r="H7">
        <f>Prep_Z!O7</f>
        <v/>
      </c>
      <c r="I7">
        <f>Prep_Z!P7</f>
        <v/>
      </c>
      <c r="J7">
        <f>Prep_Z!Q7</f>
        <v/>
      </c>
      <c r="K7">
        <f>SUMXMY2($D7:$J7,Init_Centroid!$B$2:$H$2)</f>
        <v/>
      </c>
      <c r="L7">
        <f>SUMXMY2($D7:$J7,Init_Centroid!$B$3:$H$3)</f>
        <v/>
      </c>
      <c r="M7">
        <f>SUMXMY2($D7:$J7,Init_Centroid!$B$4:$H$4)</f>
        <v/>
      </c>
      <c r="N7">
        <f>SUMXMY2($D7:$J7,Init_Centroid!$B$5:$H$5)</f>
        <v/>
      </c>
      <c r="O7">
        <f>MATCH(MIN($K7:$N7),$K7:$N7,0)</f>
        <v/>
      </c>
      <c r="P7">
        <f>MIN($K7:$N7)</f>
        <v/>
      </c>
    </row>
    <row r="8">
      <c r="A8">
        <f>Prep_Z!A8</f>
        <v/>
      </c>
      <c r="B8">
        <f>Prep_Z!B8</f>
        <v/>
      </c>
      <c r="C8">
        <f>Prep_Z!C8</f>
        <v/>
      </c>
      <c r="D8">
        <f>Prep_Z!K8</f>
        <v/>
      </c>
      <c r="E8">
        <f>Prep_Z!L8</f>
        <v/>
      </c>
      <c r="F8">
        <f>Prep_Z!M8</f>
        <v/>
      </c>
      <c r="G8">
        <f>Prep_Z!N8</f>
        <v/>
      </c>
      <c r="H8">
        <f>Prep_Z!O8</f>
        <v/>
      </c>
      <c r="I8">
        <f>Prep_Z!P8</f>
        <v/>
      </c>
      <c r="J8">
        <f>Prep_Z!Q8</f>
        <v/>
      </c>
      <c r="K8">
        <f>SUMXMY2($D8:$J8,Init_Centroid!$B$2:$H$2)</f>
        <v/>
      </c>
      <c r="L8">
        <f>SUMXMY2($D8:$J8,Init_Centroid!$B$3:$H$3)</f>
        <v/>
      </c>
      <c r="M8">
        <f>SUMXMY2($D8:$J8,Init_Centroid!$B$4:$H$4)</f>
        <v/>
      </c>
      <c r="N8">
        <f>SUMXMY2($D8:$J8,Init_Centroid!$B$5:$H$5)</f>
        <v/>
      </c>
      <c r="O8">
        <f>MATCH(MIN($K8:$N8),$K8:$N8,0)</f>
        <v/>
      </c>
      <c r="P8">
        <f>MIN($K8:$N8)</f>
        <v/>
      </c>
    </row>
    <row r="9">
      <c r="A9">
        <f>Prep_Z!A9</f>
        <v/>
      </c>
      <c r="B9">
        <f>Prep_Z!B9</f>
        <v/>
      </c>
      <c r="C9">
        <f>Prep_Z!C9</f>
        <v/>
      </c>
      <c r="D9">
        <f>Prep_Z!K9</f>
        <v/>
      </c>
      <c r="E9">
        <f>Prep_Z!L9</f>
        <v/>
      </c>
      <c r="F9">
        <f>Prep_Z!M9</f>
        <v/>
      </c>
      <c r="G9">
        <f>Prep_Z!N9</f>
        <v/>
      </c>
      <c r="H9">
        <f>Prep_Z!O9</f>
        <v/>
      </c>
      <c r="I9">
        <f>Prep_Z!P9</f>
        <v/>
      </c>
      <c r="J9">
        <f>Prep_Z!Q9</f>
        <v/>
      </c>
      <c r="K9">
        <f>SUMXMY2($D9:$J9,Init_Centroid!$B$2:$H$2)</f>
        <v/>
      </c>
      <c r="L9">
        <f>SUMXMY2($D9:$J9,Init_Centroid!$B$3:$H$3)</f>
        <v/>
      </c>
      <c r="M9">
        <f>SUMXMY2($D9:$J9,Init_Centroid!$B$4:$H$4)</f>
        <v/>
      </c>
      <c r="N9">
        <f>SUMXMY2($D9:$J9,Init_Centroid!$B$5:$H$5)</f>
        <v/>
      </c>
      <c r="O9">
        <f>MATCH(MIN($K9:$N9),$K9:$N9,0)</f>
        <v/>
      </c>
      <c r="P9">
        <f>MIN($K9:$N9)</f>
        <v/>
      </c>
    </row>
    <row r="10">
      <c r="A10">
        <f>Prep_Z!A10</f>
        <v/>
      </c>
      <c r="B10">
        <f>Prep_Z!B10</f>
        <v/>
      </c>
      <c r="C10">
        <f>Prep_Z!C10</f>
        <v/>
      </c>
      <c r="D10">
        <f>Prep_Z!K10</f>
        <v/>
      </c>
      <c r="E10">
        <f>Prep_Z!L10</f>
        <v/>
      </c>
      <c r="F10">
        <f>Prep_Z!M10</f>
        <v/>
      </c>
      <c r="G10">
        <f>Prep_Z!N10</f>
        <v/>
      </c>
      <c r="H10">
        <f>Prep_Z!O10</f>
        <v/>
      </c>
      <c r="I10">
        <f>Prep_Z!P10</f>
        <v/>
      </c>
      <c r="J10">
        <f>Prep_Z!Q10</f>
        <v/>
      </c>
      <c r="K10">
        <f>SUMXMY2($D10:$J10,Init_Centroid!$B$2:$H$2)</f>
        <v/>
      </c>
      <c r="L10">
        <f>SUMXMY2($D10:$J10,Init_Centroid!$B$3:$H$3)</f>
        <v/>
      </c>
      <c r="M10">
        <f>SUMXMY2($D10:$J10,Init_Centroid!$B$4:$H$4)</f>
        <v/>
      </c>
      <c r="N10">
        <f>SUMXMY2($D10:$J10,Init_Centroid!$B$5:$H$5)</f>
        <v/>
      </c>
      <c r="O10">
        <f>MATCH(MIN($K10:$N10),$K10:$N10,0)</f>
        <v/>
      </c>
      <c r="P10">
        <f>MIN($K10:$N10)</f>
        <v/>
      </c>
    </row>
    <row r="11">
      <c r="A11">
        <f>Prep_Z!A11</f>
        <v/>
      </c>
      <c r="B11">
        <f>Prep_Z!B11</f>
        <v/>
      </c>
      <c r="C11">
        <f>Prep_Z!C11</f>
        <v/>
      </c>
      <c r="D11">
        <f>Prep_Z!K11</f>
        <v/>
      </c>
      <c r="E11">
        <f>Prep_Z!L11</f>
        <v/>
      </c>
      <c r="F11">
        <f>Prep_Z!M11</f>
        <v/>
      </c>
      <c r="G11">
        <f>Prep_Z!N11</f>
        <v/>
      </c>
      <c r="H11">
        <f>Prep_Z!O11</f>
        <v/>
      </c>
      <c r="I11">
        <f>Prep_Z!P11</f>
        <v/>
      </c>
      <c r="J11">
        <f>Prep_Z!Q11</f>
        <v/>
      </c>
      <c r="K11">
        <f>SUMXMY2($D11:$J11,Init_Centroid!$B$2:$H$2)</f>
        <v/>
      </c>
      <c r="L11">
        <f>SUMXMY2($D11:$J11,Init_Centroid!$B$3:$H$3)</f>
        <v/>
      </c>
      <c r="M11">
        <f>SUMXMY2($D11:$J11,Init_Centroid!$B$4:$H$4)</f>
        <v/>
      </c>
      <c r="N11">
        <f>SUMXMY2($D11:$J11,Init_Centroid!$B$5:$H$5)</f>
        <v/>
      </c>
      <c r="O11">
        <f>MATCH(MIN($K11:$N11),$K11:$N11,0)</f>
        <v/>
      </c>
      <c r="P11">
        <f>MIN($K11:$N11)</f>
        <v/>
      </c>
    </row>
    <row r="12">
      <c r="A12">
        <f>Prep_Z!A12</f>
        <v/>
      </c>
      <c r="B12">
        <f>Prep_Z!B12</f>
        <v/>
      </c>
      <c r="C12">
        <f>Prep_Z!C12</f>
        <v/>
      </c>
      <c r="D12">
        <f>Prep_Z!K12</f>
        <v/>
      </c>
      <c r="E12">
        <f>Prep_Z!L12</f>
        <v/>
      </c>
      <c r="F12">
        <f>Prep_Z!M12</f>
        <v/>
      </c>
      <c r="G12">
        <f>Prep_Z!N12</f>
        <v/>
      </c>
      <c r="H12">
        <f>Prep_Z!O12</f>
        <v/>
      </c>
      <c r="I12">
        <f>Prep_Z!P12</f>
        <v/>
      </c>
      <c r="J12">
        <f>Prep_Z!Q12</f>
        <v/>
      </c>
      <c r="K12">
        <f>SUMXMY2($D12:$J12,Init_Centroid!$B$2:$H$2)</f>
        <v/>
      </c>
      <c r="L12">
        <f>SUMXMY2($D12:$J12,Init_Centroid!$B$3:$H$3)</f>
        <v/>
      </c>
      <c r="M12">
        <f>SUMXMY2($D12:$J12,Init_Centroid!$B$4:$H$4)</f>
        <v/>
      </c>
      <c r="N12">
        <f>SUMXMY2($D12:$J12,Init_Centroid!$B$5:$H$5)</f>
        <v/>
      </c>
      <c r="O12">
        <f>MATCH(MIN($K12:$N12),$K12:$N12,0)</f>
        <v/>
      </c>
      <c r="P12">
        <f>MIN($K12:$N12)</f>
        <v/>
      </c>
    </row>
    <row r="13">
      <c r="A13">
        <f>Prep_Z!A13</f>
        <v/>
      </c>
      <c r="B13">
        <f>Prep_Z!B13</f>
        <v/>
      </c>
      <c r="C13">
        <f>Prep_Z!C13</f>
        <v/>
      </c>
      <c r="D13">
        <f>Prep_Z!K13</f>
        <v/>
      </c>
      <c r="E13">
        <f>Prep_Z!L13</f>
        <v/>
      </c>
      <c r="F13">
        <f>Prep_Z!M13</f>
        <v/>
      </c>
      <c r="G13">
        <f>Prep_Z!N13</f>
        <v/>
      </c>
      <c r="H13">
        <f>Prep_Z!O13</f>
        <v/>
      </c>
      <c r="I13">
        <f>Prep_Z!P13</f>
        <v/>
      </c>
      <c r="J13">
        <f>Prep_Z!Q13</f>
        <v/>
      </c>
      <c r="K13">
        <f>SUMXMY2($D13:$J13,Init_Centroid!$B$2:$H$2)</f>
        <v/>
      </c>
      <c r="L13">
        <f>SUMXMY2($D13:$J13,Init_Centroid!$B$3:$H$3)</f>
        <v/>
      </c>
      <c r="M13">
        <f>SUMXMY2($D13:$J13,Init_Centroid!$B$4:$H$4)</f>
        <v/>
      </c>
      <c r="N13">
        <f>SUMXMY2($D13:$J13,Init_Centroid!$B$5:$H$5)</f>
        <v/>
      </c>
      <c r="O13">
        <f>MATCH(MIN($K13:$N13),$K13:$N13,0)</f>
        <v/>
      </c>
      <c r="P13">
        <f>MIN($K13:$N13)</f>
        <v/>
      </c>
    </row>
    <row r="14">
      <c r="A14">
        <f>Prep_Z!A14</f>
        <v/>
      </c>
      <c r="B14">
        <f>Prep_Z!B14</f>
        <v/>
      </c>
      <c r="C14">
        <f>Prep_Z!C14</f>
        <v/>
      </c>
      <c r="D14">
        <f>Prep_Z!K14</f>
        <v/>
      </c>
      <c r="E14">
        <f>Prep_Z!L14</f>
        <v/>
      </c>
      <c r="F14">
        <f>Prep_Z!M14</f>
        <v/>
      </c>
      <c r="G14">
        <f>Prep_Z!N14</f>
        <v/>
      </c>
      <c r="H14">
        <f>Prep_Z!O14</f>
        <v/>
      </c>
      <c r="I14">
        <f>Prep_Z!P14</f>
        <v/>
      </c>
      <c r="J14">
        <f>Prep_Z!Q14</f>
        <v/>
      </c>
      <c r="K14">
        <f>SUMXMY2($D14:$J14,Init_Centroid!$B$2:$H$2)</f>
        <v/>
      </c>
      <c r="L14">
        <f>SUMXMY2($D14:$J14,Init_Centroid!$B$3:$H$3)</f>
        <v/>
      </c>
      <c r="M14">
        <f>SUMXMY2($D14:$J14,Init_Centroid!$B$4:$H$4)</f>
        <v/>
      </c>
      <c r="N14">
        <f>SUMXMY2($D14:$J14,Init_Centroid!$B$5:$H$5)</f>
        <v/>
      </c>
      <c r="O14">
        <f>MATCH(MIN($K14:$N14),$K14:$N14,0)</f>
        <v/>
      </c>
      <c r="P14">
        <f>MIN($K14:$N14)</f>
        <v/>
      </c>
    </row>
    <row r="15">
      <c r="A15">
        <f>Prep_Z!A15</f>
        <v/>
      </c>
      <c r="B15">
        <f>Prep_Z!B15</f>
        <v/>
      </c>
      <c r="C15">
        <f>Prep_Z!C15</f>
        <v/>
      </c>
      <c r="D15">
        <f>Prep_Z!K15</f>
        <v/>
      </c>
      <c r="E15">
        <f>Prep_Z!L15</f>
        <v/>
      </c>
      <c r="F15">
        <f>Prep_Z!M15</f>
        <v/>
      </c>
      <c r="G15">
        <f>Prep_Z!N15</f>
        <v/>
      </c>
      <c r="H15">
        <f>Prep_Z!O15</f>
        <v/>
      </c>
      <c r="I15">
        <f>Prep_Z!P15</f>
        <v/>
      </c>
      <c r="J15">
        <f>Prep_Z!Q15</f>
        <v/>
      </c>
      <c r="K15">
        <f>SUMXMY2($D15:$J15,Init_Centroid!$B$2:$H$2)</f>
        <v/>
      </c>
      <c r="L15">
        <f>SUMXMY2($D15:$J15,Init_Centroid!$B$3:$H$3)</f>
        <v/>
      </c>
      <c r="M15">
        <f>SUMXMY2($D15:$J15,Init_Centroid!$B$4:$H$4)</f>
        <v/>
      </c>
      <c r="N15">
        <f>SUMXMY2($D15:$J15,Init_Centroid!$B$5:$H$5)</f>
        <v/>
      </c>
      <c r="O15">
        <f>MATCH(MIN($K15:$N15),$K15:$N15,0)</f>
        <v/>
      </c>
      <c r="P15">
        <f>MIN($K15:$N15)</f>
        <v/>
      </c>
    </row>
    <row r="16">
      <c r="A16">
        <f>Prep_Z!A16</f>
        <v/>
      </c>
      <c r="B16">
        <f>Prep_Z!B16</f>
        <v/>
      </c>
      <c r="C16">
        <f>Prep_Z!C16</f>
        <v/>
      </c>
      <c r="D16">
        <f>Prep_Z!K16</f>
        <v/>
      </c>
      <c r="E16">
        <f>Prep_Z!L16</f>
        <v/>
      </c>
      <c r="F16">
        <f>Prep_Z!M16</f>
        <v/>
      </c>
      <c r="G16">
        <f>Prep_Z!N16</f>
        <v/>
      </c>
      <c r="H16">
        <f>Prep_Z!O16</f>
        <v/>
      </c>
      <c r="I16">
        <f>Prep_Z!P16</f>
        <v/>
      </c>
      <c r="J16">
        <f>Prep_Z!Q16</f>
        <v/>
      </c>
      <c r="K16">
        <f>SUMXMY2($D16:$J16,Init_Centroid!$B$2:$H$2)</f>
        <v/>
      </c>
      <c r="L16">
        <f>SUMXMY2($D16:$J16,Init_Centroid!$B$3:$H$3)</f>
        <v/>
      </c>
      <c r="M16">
        <f>SUMXMY2($D16:$J16,Init_Centroid!$B$4:$H$4)</f>
        <v/>
      </c>
      <c r="N16">
        <f>SUMXMY2($D16:$J16,Init_Centroid!$B$5:$H$5)</f>
        <v/>
      </c>
      <c r="O16">
        <f>MATCH(MIN($K16:$N16),$K16:$N16,0)</f>
        <v/>
      </c>
      <c r="P16">
        <f>MIN($K16:$N16)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>
      <c r="A1" s="3" t="inlineStr">
        <is>
          <t>cluster</t>
        </is>
      </c>
      <c r="B1" s="3" t="inlineStr">
        <is>
          <t>z_pmdn</t>
        </is>
      </c>
      <c r="C1" s="3" t="inlineStr">
        <is>
          <t>z_fdi</t>
        </is>
      </c>
      <c r="D1" s="3" t="inlineStr">
        <is>
          <t>z_pdrb</t>
        </is>
      </c>
      <c r="E1" s="3" t="inlineStr">
        <is>
          <t>z_ipm</t>
        </is>
      </c>
      <c r="F1" s="3" t="inlineStr">
        <is>
          <t>z_kemiskinan</t>
        </is>
      </c>
      <c r="G1" s="3" t="inlineStr">
        <is>
          <t>z_akses_listrik</t>
        </is>
      </c>
      <c r="H1" s="3" t="inlineStr">
        <is>
          <t>z_tpt</t>
        </is>
      </c>
    </row>
    <row r="2">
      <c r="A2" t="n">
        <v>1</v>
      </c>
      <c r="B2">
        <f>IFERROR(AVERAGEIFS(Iter_1!$D$2:$D$16,Iter_1!$O$2:$O$16,$A2),0)</f>
        <v/>
      </c>
      <c r="C2">
        <f>IFERROR(AVERAGEIFS(Iter_1!$E$2:$E$16,Iter_1!$O$2:$O$16,$A2),0)</f>
        <v/>
      </c>
      <c r="D2">
        <f>IFERROR(AVERAGEIFS(Iter_1!$F$2:$F$16,Iter_1!$O$2:$O$16,$A2),0)</f>
        <v/>
      </c>
      <c r="E2">
        <f>IFERROR(AVERAGEIFS(Iter_1!$G$2:$G$16,Iter_1!$O$2:$O$16,$A2),0)</f>
        <v/>
      </c>
      <c r="F2">
        <f>IFERROR(AVERAGEIFS(Iter_1!$H$2:$H$16,Iter_1!$O$2:$O$16,$A2),0)</f>
        <v/>
      </c>
      <c r="G2">
        <f>IFERROR(AVERAGEIFS(Iter_1!$I$2:$I$16,Iter_1!$O$2:$O$16,$A2),0)</f>
        <v/>
      </c>
      <c r="H2">
        <f>IFERROR(AVERAGEIFS(Iter_1!$J$2:$J$16,Iter_1!$O$2:$O$16,$A2),0)</f>
        <v/>
      </c>
    </row>
    <row r="3">
      <c r="A3" t="n">
        <v>2</v>
      </c>
      <c r="B3">
        <f>IFERROR(AVERAGEIFS(Iter_1!$D$2:$D$16,Iter_1!$O$2:$O$16,$A3),0)</f>
        <v/>
      </c>
      <c r="C3">
        <f>IFERROR(AVERAGEIFS(Iter_1!$E$2:$E$16,Iter_1!$O$2:$O$16,$A3),0)</f>
        <v/>
      </c>
      <c r="D3">
        <f>IFERROR(AVERAGEIFS(Iter_1!$F$2:$F$16,Iter_1!$O$2:$O$16,$A3),0)</f>
        <v/>
      </c>
      <c r="E3">
        <f>IFERROR(AVERAGEIFS(Iter_1!$G$2:$G$16,Iter_1!$O$2:$O$16,$A3),0)</f>
        <v/>
      </c>
      <c r="F3">
        <f>IFERROR(AVERAGEIFS(Iter_1!$H$2:$H$16,Iter_1!$O$2:$O$16,$A3),0)</f>
        <v/>
      </c>
      <c r="G3">
        <f>IFERROR(AVERAGEIFS(Iter_1!$I$2:$I$16,Iter_1!$O$2:$O$16,$A3),0)</f>
        <v/>
      </c>
      <c r="H3">
        <f>IFERROR(AVERAGEIFS(Iter_1!$J$2:$J$16,Iter_1!$O$2:$O$16,$A3),0)</f>
        <v/>
      </c>
    </row>
    <row r="4">
      <c r="A4" t="n">
        <v>3</v>
      </c>
      <c r="B4">
        <f>IFERROR(AVERAGEIFS(Iter_1!$D$2:$D$16,Iter_1!$O$2:$O$16,$A4),0)</f>
        <v/>
      </c>
      <c r="C4">
        <f>IFERROR(AVERAGEIFS(Iter_1!$E$2:$E$16,Iter_1!$O$2:$O$16,$A4),0)</f>
        <v/>
      </c>
      <c r="D4">
        <f>IFERROR(AVERAGEIFS(Iter_1!$F$2:$F$16,Iter_1!$O$2:$O$16,$A4),0)</f>
        <v/>
      </c>
      <c r="E4">
        <f>IFERROR(AVERAGEIFS(Iter_1!$G$2:$G$16,Iter_1!$O$2:$O$16,$A4),0)</f>
        <v/>
      </c>
      <c r="F4">
        <f>IFERROR(AVERAGEIFS(Iter_1!$H$2:$H$16,Iter_1!$O$2:$O$16,$A4),0)</f>
        <v/>
      </c>
      <c r="G4">
        <f>IFERROR(AVERAGEIFS(Iter_1!$I$2:$I$16,Iter_1!$O$2:$O$16,$A4),0)</f>
        <v/>
      </c>
      <c r="H4">
        <f>IFERROR(AVERAGEIFS(Iter_1!$J$2:$J$16,Iter_1!$O$2:$O$16,$A4),0)</f>
        <v/>
      </c>
    </row>
    <row r="5">
      <c r="A5" t="n">
        <v>4</v>
      </c>
      <c r="B5">
        <f>IFERROR(AVERAGEIFS(Iter_1!$D$2:$D$16,Iter_1!$O$2:$O$16,$A5),0)</f>
        <v/>
      </c>
      <c r="C5">
        <f>IFERROR(AVERAGEIFS(Iter_1!$E$2:$E$16,Iter_1!$O$2:$O$16,$A5),0)</f>
        <v/>
      </c>
      <c r="D5">
        <f>IFERROR(AVERAGEIFS(Iter_1!$F$2:$F$16,Iter_1!$O$2:$O$16,$A5),0)</f>
        <v/>
      </c>
      <c r="E5">
        <f>IFERROR(AVERAGEIFS(Iter_1!$G$2:$G$16,Iter_1!$O$2:$O$16,$A5),0)</f>
        <v/>
      </c>
      <c r="F5">
        <f>IFERROR(AVERAGEIFS(Iter_1!$H$2:$H$16,Iter_1!$O$2:$O$16,$A5),0)</f>
        <v/>
      </c>
      <c r="G5">
        <f>IFERROR(AVERAGEIFS(Iter_1!$I$2:$I$16,Iter_1!$O$2:$O$16,$A5),0)</f>
        <v/>
      </c>
      <c r="H5">
        <f>IFERROR(AVERAGEIFS(Iter_1!$J$2:$J$16,Iter_1!$O$2:$O$16,$A5),0)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9" customWidth="1" min="15" max="15"/>
    <col width="12" customWidth="1" min="16" max="16"/>
  </cols>
  <sheetData>
    <row r="1">
      <c r="A1" s="3" t="inlineStr">
        <is>
          <t>no</t>
        </is>
      </c>
      <c r="B1" s="3" t="inlineStr">
        <is>
          <t>provinsi</t>
        </is>
      </c>
      <c r="C1" s="3" t="inlineStr">
        <is>
          <t>year</t>
        </is>
      </c>
      <c r="D1" s="3" t="inlineStr">
        <is>
          <t>z_pmdn</t>
        </is>
      </c>
      <c r="E1" s="3" t="inlineStr">
        <is>
          <t>z_fdi</t>
        </is>
      </c>
      <c r="F1" s="3" t="inlineStr">
        <is>
          <t>z_pdrb</t>
        </is>
      </c>
      <c r="G1" s="3" t="inlineStr">
        <is>
          <t>z_ipm</t>
        </is>
      </c>
      <c r="H1" s="3" t="inlineStr">
        <is>
          <t>z_kemiskinan</t>
        </is>
      </c>
      <c r="I1" s="3" t="inlineStr">
        <is>
          <t>z_akses_listrik</t>
        </is>
      </c>
      <c r="J1" s="3" t="inlineStr">
        <is>
          <t>z_tpt</t>
        </is>
      </c>
      <c r="K1" s="3" t="inlineStr">
        <is>
          <t>dist_c1</t>
        </is>
      </c>
      <c r="L1" s="3" t="inlineStr">
        <is>
          <t>dist_c2</t>
        </is>
      </c>
      <c r="M1" s="3" t="inlineStr">
        <is>
          <t>dist_c3</t>
        </is>
      </c>
      <c r="N1" s="3" t="inlineStr">
        <is>
          <t>dist_c4</t>
        </is>
      </c>
      <c r="O1" s="3" t="inlineStr">
        <is>
          <t>cluster</t>
        </is>
      </c>
      <c r="P1" s="3" t="inlineStr">
        <is>
          <t>min_dist</t>
        </is>
      </c>
    </row>
    <row r="2">
      <c r="A2">
        <f>Prep_Z!A2</f>
        <v/>
      </c>
      <c r="B2">
        <f>Prep_Z!B2</f>
        <v/>
      </c>
      <c r="C2">
        <f>Prep_Z!C2</f>
        <v/>
      </c>
      <c r="D2">
        <f>Prep_Z!K2</f>
        <v/>
      </c>
      <c r="E2">
        <f>Prep_Z!L2</f>
        <v/>
      </c>
      <c r="F2">
        <f>Prep_Z!M2</f>
        <v/>
      </c>
      <c r="G2">
        <f>Prep_Z!N2</f>
        <v/>
      </c>
      <c r="H2">
        <f>Prep_Z!O2</f>
        <v/>
      </c>
      <c r="I2">
        <f>Prep_Z!P2</f>
        <v/>
      </c>
      <c r="J2">
        <f>Prep_Z!Q2</f>
        <v/>
      </c>
      <c r="K2">
        <f>SUMXMY2($D2:$J2,Centroid_1!$B$2:$H$2)</f>
        <v/>
      </c>
      <c r="L2">
        <f>SUMXMY2($D2:$J2,Centroid_1!$B$3:$H$3)</f>
        <v/>
      </c>
      <c r="M2">
        <f>SUMXMY2($D2:$J2,Centroid_1!$B$4:$H$4)</f>
        <v/>
      </c>
      <c r="N2">
        <f>SUMXMY2($D2:$J2,Centroid_1!$B$5:$H$5)</f>
        <v/>
      </c>
      <c r="O2">
        <f>MATCH(MIN($K2:$N2),$K2:$N2,0)</f>
        <v/>
      </c>
      <c r="P2">
        <f>MIN($K2:$N2)</f>
        <v/>
      </c>
    </row>
    <row r="3">
      <c r="A3">
        <f>Prep_Z!A3</f>
        <v/>
      </c>
      <c r="B3">
        <f>Prep_Z!B3</f>
        <v/>
      </c>
      <c r="C3">
        <f>Prep_Z!C3</f>
        <v/>
      </c>
      <c r="D3">
        <f>Prep_Z!K3</f>
        <v/>
      </c>
      <c r="E3">
        <f>Prep_Z!L3</f>
        <v/>
      </c>
      <c r="F3">
        <f>Prep_Z!M3</f>
        <v/>
      </c>
      <c r="G3">
        <f>Prep_Z!N3</f>
        <v/>
      </c>
      <c r="H3">
        <f>Prep_Z!O3</f>
        <v/>
      </c>
      <c r="I3">
        <f>Prep_Z!P3</f>
        <v/>
      </c>
      <c r="J3">
        <f>Prep_Z!Q3</f>
        <v/>
      </c>
      <c r="K3">
        <f>SUMXMY2($D3:$J3,Centroid_1!$B$2:$H$2)</f>
        <v/>
      </c>
      <c r="L3">
        <f>SUMXMY2($D3:$J3,Centroid_1!$B$3:$H$3)</f>
        <v/>
      </c>
      <c r="M3">
        <f>SUMXMY2($D3:$J3,Centroid_1!$B$4:$H$4)</f>
        <v/>
      </c>
      <c r="N3">
        <f>SUMXMY2($D3:$J3,Centroid_1!$B$5:$H$5)</f>
        <v/>
      </c>
      <c r="O3">
        <f>MATCH(MIN($K3:$N3),$K3:$N3,0)</f>
        <v/>
      </c>
      <c r="P3">
        <f>MIN($K3:$N3)</f>
        <v/>
      </c>
    </row>
    <row r="4">
      <c r="A4">
        <f>Prep_Z!A4</f>
        <v/>
      </c>
      <c r="B4">
        <f>Prep_Z!B4</f>
        <v/>
      </c>
      <c r="C4">
        <f>Prep_Z!C4</f>
        <v/>
      </c>
      <c r="D4">
        <f>Prep_Z!K4</f>
        <v/>
      </c>
      <c r="E4">
        <f>Prep_Z!L4</f>
        <v/>
      </c>
      <c r="F4">
        <f>Prep_Z!M4</f>
        <v/>
      </c>
      <c r="G4">
        <f>Prep_Z!N4</f>
        <v/>
      </c>
      <c r="H4">
        <f>Prep_Z!O4</f>
        <v/>
      </c>
      <c r="I4">
        <f>Prep_Z!P4</f>
        <v/>
      </c>
      <c r="J4">
        <f>Prep_Z!Q4</f>
        <v/>
      </c>
      <c r="K4">
        <f>SUMXMY2($D4:$J4,Centroid_1!$B$2:$H$2)</f>
        <v/>
      </c>
      <c r="L4">
        <f>SUMXMY2($D4:$J4,Centroid_1!$B$3:$H$3)</f>
        <v/>
      </c>
      <c r="M4">
        <f>SUMXMY2($D4:$J4,Centroid_1!$B$4:$H$4)</f>
        <v/>
      </c>
      <c r="N4">
        <f>SUMXMY2($D4:$J4,Centroid_1!$B$5:$H$5)</f>
        <v/>
      </c>
      <c r="O4">
        <f>MATCH(MIN($K4:$N4),$K4:$N4,0)</f>
        <v/>
      </c>
      <c r="P4">
        <f>MIN($K4:$N4)</f>
        <v/>
      </c>
    </row>
    <row r="5">
      <c r="A5">
        <f>Prep_Z!A5</f>
        <v/>
      </c>
      <c r="B5">
        <f>Prep_Z!B5</f>
        <v/>
      </c>
      <c r="C5">
        <f>Prep_Z!C5</f>
        <v/>
      </c>
      <c r="D5">
        <f>Prep_Z!K5</f>
        <v/>
      </c>
      <c r="E5">
        <f>Prep_Z!L5</f>
        <v/>
      </c>
      <c r="F5">
        <f>Prep_Z!M5</f>
        <v/>
      </c>
      <c r="G5">
        <f>Prep_Z!N5</f>
        <v/>
      </c>
      <c r="H5">
        <f>Prep_Z!O5</f>
        <v/>
      </c>
      <c r="I5">
        <f>Prep_Z!P5</f>
        <v/>
      </c>
      <c r="J5">
        <f>Prep_Z!Q5</f>
        <v/>
      </c>
      <c r="K5">
        <f>SUMXMY2($D5:$J5,Centroid_1!$B$2:$H$2)</f>
        <v/>
      </c>
      <c r="L5">
        <f>SUMXMY2($D5:$J5,Centroid_1!$B$3:$H$3)</f>
        <v/>
      </c>
      <c r="M5">
        <f>SUMXMY2($D5:$J5,Centroid_1!$B$4:$H$4)</f>
        <v/>
      </c>
      <c r="N5">
        <f>SUMXMY2($D5:$J5,Centroid_1!$B$5:$H$5)</f>
        <v/>
      </c>
      <c r="O5">
        <f>MATCH(MIN($K5:$N5),$K5:$N5,0)</f>
        <v/>
      </c>
      <c r="P5">
        <f>MIN($K5:$N5)</f>
        <v/>
      </c>
    </row>
    <row r="6">
      <c r="A6">
        <f>Prep_Z!A6</f>
        <v/>
      </c>
      <c r="B6">
        <f>Prep_Z!B6</f>
        <v/>
      </c>
      <c r="C6">
        <f>Prep_Z!C6</f>
        <v/>
      </c>
      <c r="D6">
        <f>Prep_Z!K6</f>
        <v/>
      </c>
      <c r="E6">
        <f>Prep_Z!L6</f>
        <v/>
      </c>
      <c r="F6">
        <f>Prep_Z!M6</f>
        <v/>
      </c>
      <c r="G6">
        <f>Prep_Z!N6</f>
        <v/>
      </c>
      <c r="H6">
        <f>Prep_Z!O6</f>
        <v/>
      </c>
      <c r="I6">
        <f>Prep_Z!P6</f>
        <v/>
      </c>
      <c r="J6">
        <f>Prep_Z!Q6</f>
        <v/>
      </c>
      <c r="K6">
        <f>SUMXMY2($D6:$J6,Centroid_1!$B$2:$H$2)</f>
        <v/>
      </c>
      <c r="L6">
        <f>SUMXMY2($D6:$J6,Centroid_1!$B$3:$H$3)</f>
        <v/>
      </c>
      <c r="M6">
        <f>SUMXMY2($D6:$J6,Centroid_1!$B$4:$H$4)</f>
        <v/>
      </c>
      <c r="N6">
        <f>SUMXMY2($D6:$J6,Centroid_1!$B$5:$H$5)</f>
        <v/>
      </c>
      <c r="O6">
        <f>MATCH(MIN($K6:$N6),$K6:$N6,0)</f>
        <v/>
      </c>
      <c r="P6">
        <f>MIN($K6:$N6)</f>
        <v/>
      </c>
    </row>
    <row r="7">
      <c r="A7">
        <f>Prep_Z!A7</f>
        <v/>
      </c>
      <c r="B7">
        <f>Prep_Z!B7</f>
        <v/>
      </c>
      <c r="C7">
        <f>Prep_Z!C7</f>
        <v/>
      </c>
      <c r="D7">
        <f>Prep_Z!K7</f>
        <v/>
      </c>
      <c r="E7">
        <f>Prep_Z!L7</f>
        <v/>
      </c>
      <c r="F7">
        <f>Prep_Z!M7</f>
        <v/>
      </c>
      <c r="G7">
        <f>Prep_Z!N7</f>
        <v/>
      </c>
      <c r="H7">
        <f>Prep_Z!O7</f>
        <v/>
      </c>
      <c r="I7">
        <f>Prep_Z!P7</f>
        <v/>
      </c>
      <c r="J7">
        <f>Prep_Z!Q7</f>
        <v/>
      </c>
      <c r="K7">
        <f>SUMXMY2($D7:$J7,Centroid_1!$B$2:$H$2)</f>
        <v/>
      </c>
      <c r="L7">
        <f>SUMXMY2($D7:$J7,Centroid_1!$B$3:$H$3)</f>
        <v/>
      </c>
      <c r="M7">
        <f>SUMXMY2($D7:$J7,Centroid_1!$B$4:$H$4)</f>
        <v/>
      </c>
      <c r="N7">
        <f>SUMXMY2($D7:$J7,Centroid_1!$B$5:$H$5)</f>
        <v/>
      </c>
      <c r="O7">
        <f>MATCH(MIN($K7:$N7),$K7:$N7,0)</f>
        <v/>
      </c>
      <c r="P7">
        <f>MIN($K7:$N7)</f>
        <v/>
      </c>
    </row>
    <row r="8">
      <c r="A8">
        <f>Prep_Z!A8</f>
        <v/>
      </c>
      <c r="B8">
        <f>Prep_Z!B8</f>
        <v/>
      </c>
      <c r="C8">
        <f>Prep_Z!C8</f>
        <v/>
      </c>
      <c r="D8">
        <f>Prep_Z!K8</f>
        <v/>
      </c>
      <c r="E8">
        <f>Prep_Z!L8</f>
        <v/>
      </c>
      <c r="F8">
        <f>Prep_Z!M8</f>
        <v/>
      </c>
      <c r="G8">
        <f>Prep_Z!N8</f>
        <v/>
      </c>
      <c r="H8">
        <f>Prep_Z!O8</f>
        <v/>
      </c>
      <c r="I8">
        <f>Prep_Z!P8</f>
        <v/>
      </c>
      <c r="J8">
        <f>Prep_Z!Q8</f>
        <v/>
      </c>
      <c r="K8">
        <f>SUMXMY2($D8:$J8,Centroid_1!$B$2:$H$2)</f>
        <v/>
      </c>
      <c r="L8">
        <f>SUMXMY2($D8:$J8,Centroid_1!$B$3:$H$3)</f>
        <v/>
      </c>
      <c r="M8">
        <f>SUMXMY2($D8:$J8,Centroid_1!$B$4:$H$4)</f>
        <v/>
      </c>
      <c r="N8">
        <f>SUMXMY2($D8:$J8,Centroid_1!$B$5:$H$5)</f>
        <v/>
      </c>
      <c r="O8">
        <f>MATCH(MIN($K8:$N8),$K8:$N8,0)</f>
        <v/>
      </c>
      <c r="P8">
        <f>MIN($K8:$N8)</f>
        <v/>
      </c>
    </row>
    <row r="9">
      <c r="A9">
        <f>Prep_Z!A9</f>
        <v/>
      </c>
      <c r="B9">
        <f>Prep_Z!B9</f>
        <v/>
      </c>
      <c r="C9">
        <f>Prep_Z!C9</f>
        <v/>
      </c>
      <c r="D9">
        <f>Prep_Z!K9</f>
        <v/>
      </c>
      <c r="E9">
        <f>Prep_Z!L9</f>
        <v/>
      </c>
      <c r="F9">
        <f>Prep_Z!M9</f>
        <v/>
      </c>
      <c r="G9">
        <f>Prep_Z!N9</f>
        <v/>
      </c>
      <c r="H9">
        <f>Prep_Z!O9</f>
        <v/>
      </c>
      <c r="I9">
        <f>Prep_Z!P9</f>
        <v/>
      </c>
      <c r="J9">
        <f>Prep_Z!Q9</f>
        <v/>
      </c>
      <c r="K9">
        <f>SUMXMY2($D9:$J9,Centroid_1!$B$2:$H$2)</f>
        <v/>
      </c>
      <c r="L9">
        <f>SUMXMY2($D9:$J9,Centroid_1!$B$3:$H$3)</f>
        <v/>
      </c>
      <c r="M9">
        <f>SUMXMY2($D9:$J9,Centroid_1!$B$4:$H$4)</f>
        <v/>
      </c>
      <c r="N9">
        <f>SUMXMY2($D9:$J9,Centroid_1!$B$5:$H$5)</f>
        <v/>
      </c>
      <c r="O9">
        <f>MATCH(MIN($K9:$N9),$K9:$N9,0)</f>
        <v/>
      </c>
      <c r="P9">
        <f>MIN($K9:$N9)</f>
        <v/>
      </c>
    </row>
    <row r="10">
      <c r="A10">
        <f>Prep_Z!A10</f>
        <v/>
      </c>
      <c r="B10">
        <f>Prep_Z!B10</f>
        <v/>
      </c>
      <c r="C10">
        <f>Prep_Z!C10</f>
        <v/>
      </c>
      <c r="D10">
        <f>Prep_Z!K10</f>
        <v/>
      </c>
      <c r="E10">
        <f>Prep_Z!L10</f>
        <v/>
      </c>
      <c r="F10">
        <f>Prep_Z!M10</f>
        <v/>
      </c>
      <c r="G10">
        <f>Prep_Z!N10</f>
        <v/>
      </c>
      <c r="H10">
        <f>Prep_Z!O10</f>
        <v/>
      </c>
      <c r="I10">
        <f>Prep_Z!P10</f>
        <v/>
      </c>
      <c r="J10">
        <f>Prep_Z!Q10</f>
        <v/>
      </c>
      <c r="K10">
        <f>SUMXMY2($D10:$J10,Centroid_1!$B$2:$H$2)</f>
        <v/>
      </c>
      <c r="L10">
        <f>SUMXMY2($D10:$J10,Centroid_1!$B$3:$H$3)</f>
        <v/>
      </c>
      <c r="M10">
        <f>SUMXMY2($D10:$J10,Centroid_1!$B$4:$H$4)</f>
        <v/>
      </c>
      <c r="N10">
        <f>SUMXMY2($D10:$J10,Centroid_1!$B$5:$H$5)</f>
        <v/>
      </c>
      <c r="O10">
        <f>MATCH(MIN($K10:$N10),$K10:$N10,0)</f>
        <v/>
      </c>
      <c r="P10">
        <f>MIN($K10:$N10)</f>
        <v/>
      </c>
    </row>
    <row r="11">
      <c r="A11">
        <f>Prep_Z!A11</f>
        <v/>
      </c>
      <c r="B11">
        <f>Prep_Z!B11</f>
        <v/>
      </c>
      <c r="C11">
        <f>Prep_Z!C11</f>
        <v/>
      </c>
      <c r="D11">
        <f>Prep_Z!K11</f>
        <v/>
      </c>
      <c r="E11">
        <f>Prep_Z!L11</f>
        <v/>
      </c>
      <c r="F11">
        <f>Prep_Z!M11</f>
        <v/>
      </c>
      <c r="G11">
        <f>Prep_Z!N11</f>
        <v/>
      </c>
      <c r="H11">
        <f>Prep_Z!O11</f>
        <v/>
      </c>
      <c r="I11">
        <f>Prep_Z!P11</f>
        <v/>
      </c>
      <c r="J11">
        <f>Prep_Z!Q11</f>
        <v/>
      </c>
      <c r="K11">
        <f>SUMXMY2($D11:$J11,Centroid_1!$B$2:$H$2)</f>
        <v/>
      </c>
      <c r="L11">
        <f>SUMXMY2($D11:$J11,Centroid_1!$B$3:$H$3)</f>
        <v/>
      </c>
      <c r="M11">
        <f>SUMXMY2($D11:$J11,Centroid_1!$B$4:$H$4)</f>
        <v/>
      </c>
      <c r="N11">
        <f>SUMXMY2($D11:$J11,Centroid_1!$B$5:$H$5)</f>
        <v/>
      </c>
      <c r="O11">
        <f>MATCH(MIN($K11:$N11),$K11:$N11,0)</f>
        <v/>
      </c>
      <c r="P11">
        <f>MIN($K11:$N11)</f>
        <v/>
      </c>
    </row>
    <row r="12">
      <c r="A12">
        <f>Prep_Z!A12</f>
        <v/>
      </c>
      <c r="B12">
        <f>Prep_Z!B12</f>
        <v/>
      </c>
      <c r="C12">
        <f>Prep_Z!C12</f>
        <v/>
      </c>
      <c r="D12">
        <f>Prep_Z!K12</f>
        <v/>
      </c>
      <c r="E12">
        <f>Prep_Z!L12</f>
        <v/>
      </c>
      <c r="F12">
        <f>Prep_Z!M12</f>
        <v/>
      </c>
      <c r="G12">
        <f>Prep_Z!N12</f>
        <v/>
      </c>
      <c r="H12">
        <f>Prep_Z!O12</f>
        <v/>
      </c>
      <c r="I12">
        <f>Prep_Z!P12</f>
        <v/>
      </c>
      <c r="J12">
        <f>Prep_Z!Q12</f>
        <v/>
      </c>
      <c r="K12">
        <f>SUMXMY2($D12:$J12,Centroid_1!$B$2:$H$2)</f>
        <v/>
      </c>
      <c r="L12">
        <f>SUMXMY2($D12:$J12,Centroid_1!$B$3:$H$3)</f>
        <v/>
      </c>
      <c r="M12">
        <f>SUMXMY2($D12:$J12,Centroid_1!$B$4:$H$4)</f>
        <v/>
      </c>
      <c r="N12">
        <f>SUMXMY2($D12:$J12,Centroid_1!$B$5:$H$5)</f>
        <v/>
      </c>
      <c r="O12">
        <f>MATCH(MIN($K12:$N12),$K12:$N12,0)</f>
        <v/>
      </c>
      <c r="P12">
        <f>MIN($K12:$N12)</f>
        <v/>
      </c>
    </row>
    <row r="13">
      <c r="A13">
        <f>Prep_Z!A13</f>
        <v/>
      </c>
      <c r="B13">
        <f>Prep_Z!B13</f>
        <v/>
      </c>
      <c r="C13">
        <f>Prep_Z!C13</f>
        <v/>
      </c>
      <c r="D13">
        <f>Prep_Z!K13</f>
        <v/>
      </c>
      <c r="E13">
        <f>Prep_Z!L13</f>
        <v/>
      </c>
      <c r="F13">
        <f>Prep_Z!M13</f>
        <v/>
      </c>
      <c r="G13">
        <f>Prep_Z!N13</f>
        <v/>
      </c>
      <c r="H13">
        <f>Prep_Z!O13</f>
        <v/>
      </c>
      <c r="I13">
        <f>Prep_Z!P13</f>
        <v/>
      </c>
      <c r="J13">
        <f>Prep_Z!Q13</f>
        <v/>
      </c>
      <c r="K13">
        <f>SUMXMY2($D13:$J13,Centroid_1!$B$2:$H$2)</f>
        <v/>
      </c>
      <c r="L13">
        <f>SUMXMY2($D13:$J13,Centroid_1!$B$3:$H$3)</f>
        <v/>
      </c>
      <c r="M13">
        <f>SUMXMY2($D13:$J13,Centroid_1!$B$4:$H$4)</f>
        <v/>
      </c>
      <c r="N13">
        <f>SUMXMY2($D13:$J13,Centroid_1!$B$5:$H$5)</f>
        <v/>
      </c>
      <c r="O13">
        <f>MATCH(MIN($K13:$N13),$K13:$N13,0)</f>
        <v/>
      </c>
      <c r="P13">
        <f>MIN($K13:$N13)</f>
        <v/>
      </c>
    </row>
    <row r="14">
      <c r="A14">
        <f>Prep_Z!A14</f>
        <v/>
      </c>
      <c r="B14">
        <f>Prep_Z!B14</f>
        <v/>
      </c>
      <c r="C14">
        <f>Prep_Z!C14</f>
        <v/>
      </c>
      <c r="D14">
        <f>Prep_Z!K14</f>
        <v/>
      </c>
      <c r="E14">
        <f>Prep_Z!L14</f>
        <v/>
      </c>
      <c r="F14">
        <f>Prep_Z!M14</f>
        <v/>
      </c>
      <c r="G14">
        <f>Prep_Z!N14</f>
        <v/>
      </c>
      <c r="H14">
        <f>Prep_Z!O14</f>
        <v/>
      </c>
      <c r="I14">
        <f>Prep_Z!P14</f>
        <v/>
      </c>
      <c r="J14">
        <f>Prep_Z!Q14</f>
        <v/>
      </c>
      <c r="K14">
        <f>SUMXMY2($D14:$J14,Centroid_1!$B$2:$H$2)</f>
        <v/>
      </c>
      <c r="L14">
        <f>SUMXMY2($D14:$J14,Centroid_1!$B$3:$H$3)</f>
        <v/>
      </c>
      <c r="M14">
        <f>SUMXMY2($D14:$J14,Centroid_1!$B$4:$H$4)</f>
        <v/>
      </c>
      <c r="N14">
        <f>SUMXMY2($D14:$J14,Centroid_1!$B$5:$H$5)</f>
        <v/>
      </c>
      <c r="O14">
        <f>MATCH(MIN($K14:$N14),$K14:$N14,0)</f>
        <v/>
      </c>
      <c r="P14">
        <f>MIN($K14:$N14)</f>
        <v/>
      </c>
    </row>
    <row r="15">
      <c r="A15">
        <f>Prep_Z!A15</f>
        <v/>
      </c>
      <c r="B15">
        <f>Prep_Z!B15</f>
        <v/>
      </c>
      <c r="C15">
        <f>Prep_Z!C15</f>
        <v/>
      </c>
      <c r="D15">
        <f>Prep_Z!K15</f>
        <v/>
      </c>
      <c r="E15">
        <f>Prep_Z!L15</f>
        <v/>
      </c>
      <c r="F15">
        <f>Prep_Z!M15</f>
        <v/>
      </c>
      <c r="G15">
        <f>Prep_Z!N15</f>
        <v/>
      </c>
      <c r="H15">
        <f>Prep_Z!O15</f>
        <v/>
      </c>
      <c r="I15">
        <f>Prep_Z!P15</f>
        <v/>
      </c>
      <c r="J15">
        <f>Prep_Z!Q15</f>
        <v/>
      </c>
      <c r="K15">
        <f>SUMXMY2($D15:$J15,Centroid_1!$B$2:$H$2)</f>
        <v/>
      </c>
      <c r="L15">
        <f>SUMXMY2($D15:$J15,Centroid_1!$B$3:$H$3)</f>
        <v/>
      </c>
      <c r="M15">
        <f>SUMXMY2($D15:$J15,Centroid_1!$B$4:$H$4)</f>
        <v/>
      </c>
      <c r="N15">
        <f>SUMXMY2($D15:$J15,Centroid_1!$B$5:$H$5)</f>
        <v/>
      </c>
      <c r="O15">
        <f>MATCH(MIN($K15:$N15),$K15:$N15,0)</f>
        <v/>
      </c>
      <c r="P15">
        <f>MIN($K15:$N15)</f>
        <v/>
      </c>
    </row>
    <row r="16">
      <c r="A16">
        <f>Prep_Z!A16</f>
        <v/>
      </c>
      <c r="B16">
        <f>Prep_Z!B16</f>
        <v/>
      </c>
      <c r="C16">
        <f>Prep_Z!C16</f>
        <v/>
      </c>
      <c r="D16">
        <f>Prep_Z!K16</f>
        <v/>
      </c>
      <c r="E16">
        <f>Prep_Z!L16</f>
        <v/>
      </c>
      <c r="F16">
        <f>Prep_Z!M16</f>
        <v/>
      </c>
      <c r="G16">
        <f>Prep_Z!N16</f>
        <v/>
      </c>
      <c r="H16">
        <f>Prep_Z!O16</f>
        <v/>
      </c>
      <c r="I16">
        <f>Prep_Z!P16</f>
        <v/>
      </c>
      <c r="J16">
        <f>Prep_Z!Q16</f>
        <v/>
      </c>
      <c r="K16">
        <f>SUMXMY2($D16:$J16,Centroid_1!$B$2:$H$2)</f>
        <v/>
      </c>
      <c r="L16">
        <f>SUMXMY2($D16:$J16,Centroid_1!$B$3:$H$3)</f>
        <v/>
      </c>
      <c r="M16">
        <f>SUMXMY2($D16:$J16,Centroid_1!$B$4:$H$4)</f>
        <v/>
      </c>
      <c r="N16">
        <f>SUMXMY2($D16:$J16,Centroid_1!$B$5:$H$5)</f>
        <v/>
      </c>
      <c r="O16">
        <f>MATCH(MIN($K16:$N16),$K16:$N16,0)</f>
        <v/>
      </c>
      <c r="P16">
        <f>MIN($K16:$N16)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</cols>
  <sheetData>
    <row r="1">
      <c r="A1" s="3" t="inlineStr">
        <is>
          <t>cluster</t>
        </is>
      </c>
      <c r="B1" s="3" t="inlineStr">
        <is>
          <t>z_pmdn</t>
        </is>
      </c>
      <c r="C1" s="3" t="inlineStr">
        <is>
          <t>z_fdi</t>
        </is>
      </c>
      <c r="D1" s="3" t="inlineStr">
        <is>
          <t>z_pdrb</t>
        </is>
      </c>
      <c r="E1" s="3" t="inlineStr">
        <is>
          <t>z_ipm</t>
        </is>
      </c>
      <c r="F1" s="3" t="inlineStr">
        <is>
          <t>z_kemiskinan</t>
        </is>
      </c>
      <c r="G1" s="3" t="inlineStr">
        <is>
          <t>z_akses_listrik</t>
        </is>
      </c>
      <c r="H1" s="3" t="inlineStr">
        <is>
          <t>z_tpt</t>
        </is>
      </c>
    </row>
    <row r="2">
      <c r="A2" t="n">
        <v>1</v>
      </c>
      <c r="B2">
        <f>IFERROR(AVERAGEIFS(Iter_2!$D$2:$D$16,Iter_2!$O$2:$O$16,$A2),0)</f>
        <v/>
      </c>
      <c r="C2">
        <f>IFERROR(AVERAGEIFS(Iter_2!$E$2:$E$16,Iter_2!$O$2:$O$16,$A2),0)</f>
        <v/>
      </c>
      <c r="D2">
        <f>IFERROR(AVERAGEIFS(Iter_2!$F$2:$F$16,Iter_2!$O$2:$O$16,$A2),0)</f>
        <v/>
      </c>
      <c r="E2">
        <f>IFERROR(AVERAGEIFS(Iter_2!$G$2:$G$16,Iter_2!$O$2:$O$16,$A2),0)</f>
        <v/>
      </c>
      <c r="F2">
        <f>IFERROR(AVERAGEIFS(Iter_2!$H$2:$H$16,Iter_2!$O$2:$O$16,$A2),0)</f>
        <v/>
      </c>
      <c r="G2">
        <f>IFERROR(AVERAGEIFS(Iter_2!$I$2:$I$16,Iter_2!$O$2:$O$16,$A2),0)</f>
        <v/>
      </c>
      <c r="H2">
        <f>IFERROR(AVERAGEIFS(Iter_2!$J$2:$J$16,Iter_2!$O$2:$O$16,$A2),0)</f>
        <v/>
      </c>
    </row>
    <row r="3">
      <c r="A3" t="n">
        <v>2</v>
      </c>
      <c r="B3">
        <f>IFERROR(AVERAGEIFS(Iter_2!$D$2:$D$16,Iter_2!$O$2:$O$16,$A3),0)</f>
        <v/>
      </c>
      <c r="C3">
        <f>IFERROR(AVERAGEIFS(Iter_2!$E$2:$E$16,Iter_2!$O$2:$O$16,$A3),0)</f>
        <v/>
      </c>
      <c r="D3">
        <f>IFERROR(AVERAGEIFS(Iter_2!$F$2:$F$16,Iter_2!$O$2:$O$16,$A3),0)</f>
        <v/>
      </c>
      <c r="E3">
        <f>IFERROR(AVERAGEIFS(Iter_2!$G$2:$G$16,Iter_2!$O$2:$O$16,$A3),0)</f>
        <v/>
      </c>
      <c r="F3">
        <f>IFERROR(AVERAGEIFS(Iter_2!$H$2:$H$16,Iter_2!$O$2:$O$16,$A3),0)</f>
        <v/>
      </c>
      <c r="G3">
        <f>IFERROR(AVERAGEIFS(Iter_2!$I$2:$I$16,Iter_2!$O$2:$O$16,$A3),0)</f>
        <v/>
      </c>
      <c r="H3">
        <f>IFERROR(AVERAGEIFS(Iter_2!$J$2:$J$16,Iter_2!$O$2:$O$16,$A3),0)</f>
        <v/>
      </c>
    </row>
    <row r="4">
      <c r="A4" t="n">
        <v>3</v>
      </c>
      <c r="B4">
        <f>IFERROR(AVERAGEIFS(Iter_2!$D$2:$D$16,Iter_2!$O$2:$O$16,$A4),0)</f>
        <v/>
      </c>
      <c r="C4">
        <f>IFERROR(AVERAGEIFS(Iter_2!$E$2:$E$16,Iter_2!$O$2:$O$16,$A4),0)</f>
        <v/>
      </c>
      <c r="D4">
        <f>IFERROR(AVERAGEIFS(Iter_2!$F$2:$F$16,Iter_2!$O$2:$O$16,$A4),0)</f>
        <v/>
      </c>
      <c r="E4">
        <f>IFERROR(AVERAGEIFS(Iter_2!$G$2:$G$16,Iter_2!$O$2:$O$16,$A4),0)</f>
        <v/>
      </c>
      <c r="F4">
        <f>IFERROR(AVERAGEIFS(Iter_2!$H$2:$H$16,Iter_2!$O$2:$O$16,$A4),0)</f>
        <v/>
      </c>
      <c r="G4">
        <f>IFERROR(AVERAGEIFS(Iter_2!$I$2:$I$16,Iter_2!$O$2:$O$16,$A4),0)</f>
        <v/>
      </c>
      <c r="H4">
        <f>IFERROR(AVERAGEIFS(Iter_2!$J$2:$J$16,Iter_2!$O$2:$O$16,$A4),0)</f>
        <v/>
      </c>
    </row>
    <row r="5">
      <c r="A5" t="n">
        <v>4</v>
      </c>
      <c r="B5">
        <f>IFERROR(AVERAGEIFS(Iter_2!$D$2:$D$16,Iter_2!$O$2:$O$16,$A5),0)</f>
        <v/>
      </c>
      <c r="C5">
        <f>IFERROR(AVERAGEIFS(Iter_2!$E$2:$E$16,Iter_2!$O$2:$O$16,$A5),0)</f>
        <v/>
      </c>
      <c r="D5">
        <f>IFERROR(AVERAGEIFS(Iter_2!$F$2:$F$16,Iter_2!$O$2:$O$16,$A5),0)</f>
        <v/>
      </c>
      <c r="E5">
        <f>IFERROR(AVERAGEIFS(Iter_2!$G$2:$G$16,Iter_2!$O$2:$O$16,$A5),0)</f>
        <v/>
      </c>
      <c r="F5">
        <f>IFERROR(AVERAGEIFS(Iter_2!$H$2:$H$16,Iter_2!$O$2:$O$16,$A5),0)</f>
        <v/>
      </c>
      <c r="G5">
        <f>IFERROR(AVERAGEIFS(Iter_2!$I$2:$I$16,Iter_2!$O$2:$O$16,$A5),0)</f>
        <v/>
      </c>
      <c r="H5">
        <f>IFERROR(AVERAGEIFS(Iter_2!$J$2:$J$16,Iter_2!$O$2:$O$16,$A5),0)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Metrik</t>
        </is>
      </c>
      <c r="B1" s="4" t="inlineStr">
        <is>
          <t>Nilai</t>
        </is>
      </c>
    </row>
    <row r="2">
      <c r="A2" t="inlineStr">
        <is>
          <t>Jumlah observasi</t>
        </is>
      </c>
      <c r="B2">
        <f>COUNTA(Iter_2!$A$2:$A$16)</f>
        <v/>
      </c>
    </row>
    <row r="3">
      <c r="A3" t="inlineStr">
        <is>
          <t>Perubahan assignment (Iter1-&gt;Iter2)</t>
        </is>
      </c>
      <c r="B3">
        <f>SUMPRODUCT(--(Iter_1!$O$2:$O$16&lt;&gt;Iter_2!$O$2:$O$16))</f>
        <v/>
      </c>
    </row>
    <row r="4">
      <c r="A4" t="inlineStr">
        <is>
          <t>Konvergen?</t>
        </is>
      </c>
      <c r="B4">
        <f>IF(B3=0,"YA","TIDAK - lanjut iterasi")</f>
        <v/>
      </c>
    </row>
    <row r="5">
      <c r="A5" t="inlineStr">
        <is>
          <t>Inertia Iter_1</t>
        </is>
      </c>
      <c r="B5">
        <f>SUM(Iter_1!$P$2:$P$16)</f>
        <v/>
      </c>
    </row>
    <row r="6">
      <c r="A6" t="inlineStr">
        <is>
          <t>Inertia Iter_2</t>
        </is>
      </c>
      <c r="B6">
        <f>SUM(Iter_2!$P$2:$P$16)</f>
        <v/>
      </c>
    </row>
    <row r="8">
      <c r="A8" s="5" t="inlineStr">
        <is>
          <t>Count anggota per cluster (Iter_2)</t>
        </is>
      </c>
    </row>
    <row r="9">
      <c r="B9" s="5" t="inlineStr">
        <is>
          <t>Cluster 1</t>
        </is>
      </c>
      <c r="C9" s="5" t="inlineStr">
        <is>
          <t>Cluster 2</t>
        </is>
      </c>
      <c r="D9" s="5" t="inlineStr">
        <is>
          <t>Cluster 3</t>
        </is>
      </c>
      <c r="E9" s="5" t="inlineStr">
        <is>
          <t>Cluster 4</t>
        </is>
      </c>
    </row>
    <row r="10">
      <c r="B10">
        <f>COUNTIFS(Iter_2!$O$2:$O$16,1)</f>
        <v/>
      </c>
      <c r="C10">
        <f>COUNTIFS(Iter_2!$O$2:$O$16,2)</f>
        <v/>
      </c>
      <c r="D10">
        <f>COUNTIFS(Iter_2!$O$2:$O$16,3)</f>
        <v/>
      </c>
      <c r="E10">
        <f>COUNTIFS(Iter_2!$O$2:$O$16,4)</f>
        <v/>
      </c>
    </row>
    <row r="12">
      <c r="A12" t="inlineStr">
        <is>
          <t>Min cluster size</t>
        </is>
      </c>
      <c r="B12">
        <f>MIN(B10:E10)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12" customWidth="1" min="5" max="5"/>
    <col width="16" customWidth="1" min="6" max="6"/>
    <col width="18" customWidth="1" min="7" max="7"/>
    <col width="12" customWidth="1" min="8" max="8"/>
    <col width="10" customWidth="1" min="9" max="9"/>
  </cols>
  <sheetData>
    <row r="1">
      <c r="A1" s="3" t="inlineStr">
        <is>
          <t>cluster</t>
        </is>
      </c>
      <c r="B1" s="3" t="inlineStr">
        <is>
          <t>mean_pmdn_rp</t>
        </is>
      </c>
      <c r="C1" s="3" t="inlineStr">
        <is>
          <t>mean_fdi_rp</t>
        </is>
      </c>
      <c r="D1" s="3" t="inlineStr">
        <is>
          <t>mean_pdrb_per_kapita</t>
        </is>
      </c>
      <c r="E1" s="3" t="inlineStr">
        <is>
          <t>mean_ipm</t>
        </is>
      </c>
      <c r="F1" s="3" t="inlineStr">
        <is>
          <t>mean_kemiskinan</t>
        </is>
      </c>
      <c r="G1" s="3" t="inlineStr">
        <is>
          <t>mean_akses_listrik</t>
        </is>
      </c>
      <c r="H1" s="3" t="inlineStr">
        <is>
          <t>mean_tpt</t>
        </is>
      </c>
      <c r="I1" s="3" t="inlineStr">
        <is>
          <t>count</t>
        </is>
      </c>
    </row>
    <row r="2">
      <c r="A2" t="n">
        <v>1</v>
      </c>
      <c r="B2">
        <f>IFERROR(AVERAGEIFS(Raw_Data!$D$2:$D$16,Iter_2!$O$2:$O$16,$A2),0)</f>
        <v/>
      </c>
      <c r="C2">
        <f>IFERROR(AVERAGEIFS(Raw_Data!$E$2:$E$16,Iter_2!$O$2:$O$16,$A2),0)</f>
        <v/>
      </c>
      <c r="D2">
        <f>IFERROR(AVERAGEIFS(Raw_Data!$F$2:$F$16,Iter_2!$O$2:$O$16,$A2),0)</f>
        <v/>
      </c>
      <c r="E2">
        <f>IFERROR(AVERAGEIFS(Raw_Data!$G$2:$G$16,Iter_2!$O$2:$O$16,$A2),0)</f>
        <v/>
      </c>
      <c r="F2">
        <f>IFERROR(AVERAGEIFS(Raw_Data!$H$2:$H$16,Iter_2!$O$2:$O$16,$A2),0)</f>
        <v/>
      </c>
      <c r="G2">
        <f>IFERROR(AVERAGEIFS(Raw_Data!$I$2:$I$16,Iter_2!$O$2:$O$16,$A2),0)</f>
        <v/>
      </c>
      <c r="H2">
        <f>IFERROR(AVERAGEIFS(Raw_Data!$J$2:$J$16,Iter_2!$O$2:$O$16,$A2),0)</f>
        <v/>
      </c>
      <c r="I2">
        <f>COUNTIFS(Iter_2!$O$2:$O$16,$A2)</f>
        <v/>
      </c>
    </row>
    <row r="3">
      <c r="A3" t="n">
        <v>2</v>
      </c>
      <c r="B3">
        <f>IFERROR(AVERAGEIFS(Raw_Data!$D$2:$D$16,Iter_2!$O$2:$O$16,$A3),0)</f>
        <v/>
      </c>
      <c r="C3">
        <f>IFERROR(AVERAGEIFS(Raw_Data!$E$2:$E$16,Iter_2!$O$2:$O$16,$A3),0)</f>
        <v/>
      </c>
      <c r="D3">
        <f>IFERROR(AVERAGEIFS(Raw_Data!$F$2:$F$16,Iter_2!$O$2:$O$16,$A3),0)</f>
        <v/>
      </c>
      <c r="E3">
        <f>IFERROR(AVERAGEIFS(Raw_Data!$G$2:$G$16,Iter_2!$O$2:$O$16,$A3),0)</f>
        <v/>
      </c>
      <c r="F3">
        <f>IFERROR(AVERAGEIFS(Raw_Data!$H$2:$H$16,Iter_2!$O$2:$O$16,$A3),0)</f>
        <v/>
      </c>
      <c r="G3">
        <f>IFERROR(AVERAGEIFS(Raw_Data!$I$2:$I$16,Iter_2!$O$2:$O$16,$A3),0)</f>
        <v/>
      </c>
      <c r="H3">
        <f>IFERROR(AVERAGEIFS(Raw_Data!$J$2:$J$16,Iter_2!$O$2:$O$16,$A3),0)</f>
        <v/>
      </c>
      <c r="I3">
        <f>COUNTIFS(Iter_2!$O$2:$O$16,$A3)</f>
        <v/>
      </c>
    </row>
    <row r="4">
      <c r="A4" t="n">
        <v>3</v>
      </c>
      <c r="B4">
        <f>IFERROR(AVERAGEIFS(Raw_Data!$D$2:$D$16,Iter_2!$O$2:$O$16,$A4),0)</f>
        <v/>
      </c>
      <c r="C4">
        <f>IFERROR(AVERAGEIFS(Raw_Data!$E$2:$E$16,Iter_2!$O$2:$O$16,$A4),0)</f>
        <v/>
      </c>
      <c r="D4">
        <f>IFERROR(AVERAGEIFS(Raw_Data!$F$2:$F$16,Iter_2!$O$2:$O$16,$A4),0)</f>
        <v/>
      </c>
      <c r="E4">
        <f>IFERROR(AVERAGEIFS(Raw_Data!$G$2:$G$16,Iter_2!$O$2:$O$16,$A4),0)</f>
        <v/>
      </c>
      <c r="F4">
        <f>IFERROR(AVERAGEIFS(Raw_Data!$H$2:$H$16,Iter_2!$O$2:$O$16,$A4),0)</f>
        <v/>
      </c>
      <c r="G4">
        <f>IFERROR(AVERAGEIFS(Raw_Data!$I$2:$I$16,Iter_2!$O$2:$O$16,$A4),0)</f>
        <v/>
      </c>
      <c r="H4">
        <f>IFERROR(AVERAGEIFS(Raw_Data!$J$2:$J$16,Iter_2!$O$2:$O$16,$A4),0)</f>
        <v/>
      </c>
      <c r="I4">
        <f>COUNTIFS(Iter_2!$O$2:$O$16,$A4)</f>
        <v/>
      </c>
    </row>
    <row r="5">
      <c r="A5" t="n">
        <v>4</v>
      </c>
      <c r="B5">
        <f>IFERROR(AVERAGEIFS(Raw_Data!$D$2:$D$16,Iter_2!$O$2:$O$16,$A5),0)</f>
        <v/>
      </c>
      <c r="C5">
        <f>IFERROR(AVERAGEIFS(Raw_Data!$E$2:$E$16,Iter_2!$O$2:$O$16,$A5),0)</f>
        <v/>
      </c>
      <c r="D5">
        <f>IFERROR(AVERAGEIFS(Raw_Data!$F$2:$F$16,Iter_2!$O$2:$O$16,$A5),0)</f>
        <v/>
      </c>
      <c r="E5">
        <f>IFERROR(AVERAGEIFS(Raw_Data!$G$2:$G$16,Iter_2!$O$2:$O$16,$A5),0)</f>
        <v/>
      </c>
      <c r="F5">
        <f>IFERROR(AVERAGEIFS(Raw_Data!$H$2:$H$16,Iter_2!$O$2:$O$16,$A5),0)</f>
        <v/>
      </c>
      <c r="G5">
        <f>IFERROR(AVERAGEIFS(Raw_Data!$I$2:$I$16,Iter_2!$O$2:$O$16,$A5),0)</f>
        <v/>
      </c>
      <c r="H5">
        <f>IFERROR(AVERAGEIFS(Raw_Data!$J$2:$J$16,Iter_2!$O$2:$O$16,$A5),0)</f>
        <v/>
      </c>
      <c r="I5">
        <f>COUNTIFS(Iter_2!$O$2:$O$16,$A5)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4" customWidth="1" min="4" max="4"/>
    <col width="10" customWidth="1" min="5" max="5"/>
    <col width="12" customWidth="1" min="6" max="6"/>
    <col width="14" customWidth="1" min="7" max="7"/>
    <col width="40" customWidth="1" min="8" max="8"/>
  </cols>
  <sheetData>
    <row r="1">
      <c r="A1" s="6" t="inlineStr">
        <is>
          <t>Pilih Cluster (1-4):</t>
        </is>
      </c>
      <c r="B1" t="n">
        <v>1</v>
      </c>
    </row>
    <row r="3">
      <c r="A3" s="3" t="inlineStr">
        <is>
          <t>variabel</t>
        </is>
      </c>
      <c r="B3" s="3" t="inlineStr">
        <is>
          <t>inverse?</t>
        </is>
      </c>
      <c r="C3" s="3" t="inlineStr">
        <is>
          <t>cluster_mean</t>
        </is>
      </c>
      <c r="D3" s="3" t="inlineStr">
        <is>
          <t>national_mean</t>
        </is>
      </c>
      <c r="E3" s="3" t="inlineStr">
        <is>
          <t>ratio</t>
        </is>
      </c>
      <c r="F3" s="3" t="inlineStr">
        <is>
          <t>category</t>
        </is>
      </c>
      <c r="G3" s="3" t="inlineStr">
        <is>
          <t>condition</t>
        </is>
      </c>
      <c r="H3" s="3" t="inlineStr">
        <is>
          <t>catatan</t>
        </is>
      </c>
    </row>
    <row r="4">
      <c r="A4" t="inlineStr">
        <is>
          <t>PMDN (Investasi Dalam Negeri)</t>
        </is>
      </c>
      <c r="B4" t="inlineStr">
        <is>
          <t>TIDAK</t>
        </is>
      </c>
      <c r="C4">
        <f>INDEX(Cluster_Summary!$B$2:$B$5,$B$1)</f>
        <v/>
      </c>
      <c r="D4">
        <f>AVERAGE(Raw_Data!$D$2:$D$16)</f>
        <v/>
      </c>
      <c r="E4">
        <f>IFERROR(C4/D4,0)</f>
        <v/>
      </c>
      <c r="F4">
        <f>IF(E4&gt;=1.5,"VERY_HIGH",IF(E4&gt;=1.1,"HIGH",IF(E4&gt;=0.9,"MEDIUM",IF(E4&gt;=0.5,"LOW","VERY_LOW"))))</f>
        <v/>
      </c>
      <c r="G4">
        <f>IF(B4="YA",IF(F4="VERY_HIGH","Sangat Buruk",IF(F4="HIGH","Buruk",IF(F4="MEDIUM","Rata-rata",IF(F4="LOW","Baik","Sangat Baik")))),IF(F4="VERY_HIGH","Sangat Tinggi",IF(F4="HIGH","Tinggi",IF(F4="MEDIUM","Rata-rata",IF(F4="LOW","Rendah","Sangat Rendah")))))</f>
        <v/>
      </c>
      <c r="H4">
        <f>IF(B4="YA","Rasio tinggi = kondisi lebih buruk","Rasio tinggi = kondisi lebih baik")</f>
        <v/>
      </c>
    </row>
    <row r="5">
      <c r="A5" t="inlineStr">
        <is>
          <t>PMA/FDI (Investasi Asing)</t>
        </is>
      </c>
      <c r="B5" t="inlineStr">
        <is>
          <t>TIDAK</t>
        </is>
      </c>
      <c r="C5">
        <f>INDEX(Cluster_Summary!$C$2:$C$5,$B$1)</f>
        <v/>
      </c>
      <c r="D5">
        <f>AVERAGE(Raw_Data!$E$2:$E$16)</f>
        <v/>
      </c>
      <c r="E5">
        <f>IFERROR(C5/D5,0)</f>
        <v/>
      </c>
      <c r="F5">
        <f>IF(E5&gt;=1.5,"VERY_HIGH",IF(E5&gt;=1.1,"HIGH",IF(E5&gt;=0.9,"MEDIUM",IF(E5&gt;=0.5,"LOW","VERY_LOW"))))</f>
        <v/>
      </c>
      <c r="G5">
        <f>IF(B5="YA",IF(F5="VERY_HIGH","Sangat Buruk",IF(F5="HIGH","Buruk",IF(F5="MEDIUM","Rata-rata",IF(F5="LOW","Baik","Sangat Baik")))),IF(F5="VERY_HIGH","Sangat Tinggi",IF(F5="HIGH","Tinggi",IF(F5="MEDIUM","Rata-rata",IF(F5="LOW","Rendah","Sangat Rendah")))))</f>
        <v/>
      </c>
      <c r="H5">
        <f>IF(B5="YA","Rasio tinggi = kondisi lebih buruk","Rasio tinggi = kondisi lebih baik")</f>
        <v/>
      </c>
    </row>
    <row r="6">
      <c r="A6" t="inlineStr">
        <is>
          <t>PDRB per Kapita</t>
        </is>
      </c>
      <c r="B6" t="inlineStr">
        <is>
          <t>TIDAK</t>
        </is>
      </c>
      <c r="C6">
        <f>INDEX(Cluster_Summary!$D$2:$D$5,$B$1)</f>
        <v/>
      </c>
      <c r="D6">
        <f>AVERAGE(Raw_Data!$F$2:$F$16)</f>
        <v/>
      </c>
      <c r="E6">
        <f>IFERROR(C6/D6,0)</f>
        <v/>
      </c>
      <c r="F6">
        <f>IF(E6&gt;=1.5,"VERY_HIGH",IF(E6&gt;=1.1,"HIGH",IF(E6&gt;=0.9,"MEDIUM",IF(E6&gt;=0.5,"LOW","VERY_LOW"))))</f>
        <v/>
      </c>
      <c r="G6">
        <f>IF(B6="YA",IF(F6="VERY_HIGH","Sangat Buruk",IF(F6="HIGH","Buruk",IF(F6="MEDIUM","Rata-rata",IF(F6="LOW","Baik","Sangat Baik")))),IF(F6="VERY_HIGH","Sangat Tinggi",IF(F6="HIGH","Tinggi",IF(F6="MEDIUM","Rata-rata",IF(F6="LOW","Rendah","Sangat Rendah")))))</f>
        <v/>
      </c>
      <c r="H6">
        <f>IF(B6="YA","Rasio tinggi = kondisi lebih buruk","Rasio tinggi = kondisi lebih baik")</f>
        <v/>
      </c>
    </row>
    <row r="7">
      <c r="A7" t="inlineStr">
        <is>
          <t>IPM</t>
        </is>
      </c>
      <c r="B7" t="inlineStr">
        <is>
          <t>TIDAK</t>
        </is>
      </c>
      <c r="C7">
        <f>INDEX(Cluster_Summary!$E$2:$E$5,$B$1)</f>
        <v/>
      </c>
      <c r="D7">
        <f>AVERAGE(Raw_Data!$G$2:$G$16)</f>
        <v/>
      </c>
      <c r="E7">
        <f>IFERROR(C7/D7,0)</f>
        <v/>
      </c>
      <c r="F7">
        <f>IF(E7&gt;=1.5,"VERY_HIGH",IF(E7&gt;=1.1,"HIGH",IF(E7&gt;=0.9,"MEDIUM",IF(E7&gt;=0.5,"LOW","VERY_LOW"))))</f>
        <v/>
      </c>
      <c r="G7">
        <f>IF(B7="YA",IF(F7="VERY_HIGH","Sangat Buruk",IF(F7="HIGH","Buruk",IF(F7="MEDIUM","Rata-rata",IF(F7="LOW","Baik","Sangat Baik")))),IF(F7="VERY_HIGH","Sangat Tinggi",IF(F7="HIGH","Tinggi",IF(F7="MEDIUM","Rata-rata",IF(F7="LOW","Rendah","Sangat Rendah")))))</f>
        <v/>
      </c>
      <c r="H7">
        <f>IF(B7="YA","Rasio tinggi = kondisi lebih buruk","Rasio tinggi = kondisi lebih baik")</f>
        <v/>
      </c>
    </row>
    <row r="8">
      <c r="A8" t="inlineStr">
        <is>
          <t>Kemiskinan</t>
        </is>
      </c>
      <c r="B8" t="inlineStr">
        <is>
          <t>YA</t>
        </is>
      </c>
      <c r="C8">
        <f>INDEX(Cluster_Summary!$F$2:$F$5,$B$1)</f>
        <v/>
      </c>
      <c r="D8">
        <f>AVERAGE(Raw_Data!$H$2:$H$16)</f>
        <v/>
      </c>
      <c r="E8">
        <f>IFERROR(C8/D8,0)</f>
        <v/>
      </c>
      <c r="F8">
        <f>IF(E8&gt;=1.5,"VERY_HIGH",IF(E8&gt;=1.1,"HIGH",IF(E8&gt;=0.9,"MEDIUM",IF(E8&gt;=0.5,"LOW","VERY_LOW"))))</f>
        <v/>
      </c>
      <c r="G8">
        <f>IF(B8="YA",IF(F8="VERY_HIGH","Sangat Buruk",IF(F8="HIGH","Buruk",IF(F8="MEDIUM","Rata-rata",IF(F8="LOW","Baik","Sangat Baik")))),IF(F8="VERY_HIGH","Sangat Tinggi",IF(F8="HIGH","Tinggi",IF(F8="MEDIUM","Rata-rata",IF(F8="LOW","Rendah","Sangat Rendah")))))</f>
        <v/>
      </c>
      <c r="H8">
        <f>IF(B8="YA","Rasio tinggi = kondisi lebih buruk","Rasio tinggi = kondisi lebih baik")</f>
        <v/>
      </c>
    </row>
    <row r="9">
      <c r="A9" t="inlineStr">
        <is>
          <t>Akses Listrik</t>
        </is>
      </c>
      <c r="B9" t="inlineStr">
        <is>
          <t>TIDAK</t>
        </is>
      </c>
      <c r="C9">
        <f>INDEX(Cluster_Summary!$G$2:$G$5,$B$1)</f>
        <v/>
      </c>
      <c r="D9">
        <f>AVERAGE(Raw_Data!$I$2:$I$16)</f>
        <v/>
      </c>
      <c r="E9">
        <f>IFERROR(C9/D9,0)</f>
        <v/>
      </c>
      <c r="F9">
        <f>IF(E9&gt;=1.5,"VERY_HIGH",IF(E9&gt;=1.1,"HIGH",IF(E9&gt;=0.9,"MEDIUM",IF(E9&gt;=0.5,"LOW","VERY_LOW"))))</f>
        <v/>
      </c>
      <c r="G9">
        <f>IF(B9="YA",IF(F9="VERY_HIGH","Sangat Buruk",IF(F9="HIGH","Buruk",IF(F9="MEDIUM","Rata-rata",IF(F9="LOW","Baik","Sangat Baik")))),IF(F9="VERY_HIGH","Sangat Tinggi",IF(F9="HIGH","Tinggi",IF(F9="MEDIUM","Rata-rata",IF(F9="LOW","Rendah","Sangat Rendah")))))</f>
        <v/>
      </c>
      <c r="H9">
        <f>IF(B9="YA","Rasio tinggi = kondisi lebih buruk","Rasio tinggi = kondisi lebih baik")</f>
        <v/>
      </c>
    </row>
    <row r="10">
      <c r="A10" t="inlineStr">
        <is>
          <t>TPT</t>
        </is>
      </c>
      <c r="B10" t="inlineStr">
        <is>
          <t>YA</t>
        </is>
      </c>
      <c r="C10">
        <f>INDEX(Cluster_Summary!$H$2:$H$5,$B$1)</f>
        <v/>
      </c>
      <c r="D10">
        <f>AVERAGE(Raw_Data!$J$2:$J$16)</f>
        <v/>
      </c>
      <c r="E10">
        <f>IFERROR(C10/D10,0)</f>
        <v/>
      </c>
      <c r="F10">
        <f>IF(E10&gt;=1.5,"VERY_HIGH",IF(E10&gt;=1.1,"HIGH",IF(E10&gt;=0.9,"MEDIUM",IF(E10&gt;=0.5,"LOW","VERY_LOW"))))</f>
        <v/>
      </c>
      <c r="G10">
        <f>IF(B10="YA",IF(F10="VERY_HIGH","Sangat Buruk",IF(F10="HIGH","Buruk",IF(F10="MEDIUM","Rata-rata",IF(F10="LOW","Baik","Sangat Baik")))),IF(F10="VERY_HIGH","Sangat Tinggi",IF(F10="HIGH","Tinggi",IF(F10="MEDIUM","Rata-rata",IF(F10="LOW","Rendah","Sangat Rendah")))))</f>
        <v/>
      </c>
      <c r="H10">
        <f>IF(B10="YA","Rasio tinggi = kondisi lebih buruk","Rasio tinggi = kondisi lebih baik")</f>
        <v/>
      </c>
    </row>
    <row r="13">
      <c r="A13" s="7" t="inlineStr">
        <is>
          <t>Threshold ratio: &lt;0.50 VERY_LOW | 0.50-&lt;0.90 LOW | 0.90-&lt;1.10 MEDIUM | 1.10-&lt;1.50 HIGH | &gt;=1.50 VERY_HIGH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Ringkas Rule Mapping (sesuai PolicyService)</t>
        </is>
      </c>
    </row>
    <row r="3">
      <c r="A3" t="inlineStr">
        <is>
          <t>1) Investasi rendah + IPM rendah + kemiskinan tinggi -&gt; pembangunan dasar + pengentasan kemiskinan</t>
        </is>
      </c>
    </row>
    <row r="4">
      <c r="A4" t="inlineStr">
        <is>
          <t>2) Investasi tinggi + IPM tinggi + TPT tinggi -&gt; penyelarasan pasar tenaga kerja</t>
        </is>
      </c>
    </row>
    <row r="5">
      <c r="A5" t="inlineStr">
        <is>
          <t>3) Investasi tinggi + IPM rendah -&gt; pertumbuhan inklusif</t>
        </is>
      </c>
    </row>
    <row r="6">
      <c r="A6" t="inlineStr">
        <is>
          <t>4) Investasi rendah + infrastruktur rendah -&gt; pengembangan infrastruktur &amp; konektivitas</t>
        </is>
      </c>
    </row>
    <row r="7">
      <c r="A7" t="inlineStr">
        <is>
          <t>5) Investasi tinggi + kesejahteraan stabil -&gt; akselerasi &amp; keberlanjutan</t>
        </is>
      </c>
    </row>
    <row r="8">
      <c r="A8" t="inlineStr">
        <is>
          <t>6) Kondisi kritis (IPM sangat rendah, kemiskinan sangat tinggi, listrik rendah) -&gt; intervensi darurat</t>
        </is>
      </c>
    </row>
    <row r="9">
      <c r="A9" t="inlineStr">
        <is>
          <t>7) Investasi rendah + kemiskinan tinggi -&gt; stimulus investasi + perlindungan sosial</t>
        </is>
      </c>
    </row>
    <row r="10">
      <c r="A10" t="inlineStr">
        <is>
          <t>8) Investasi rendah + SDM cukup baik -&gt; reformasi iklim investasi</t>
        </is>
      </c>
    </row>
    <row r="11">
      <c r="A11" t="inlineStr">
        <is>
          <t>Fallback) Intervensi defisit terbesar dari rasio indikator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2026-02-25T07:34:53Z</dcterms:created>
  <dcterms:modified xsi:type="dcterms:W3CDTF">2026-02-25T07:34:53Z</dcterms:modified>
</cp:coreProperties>
</file>